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0"/>
  <workbookPr defaultThemeVersion="166925"/>
  <xr:revisionPtr revIDLastSave="0" documentId="8_{11F86B8E-7844-4308-A31D-38CDE20B2BB6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0" i="1" l="1"/>
  <c r="R19" i="1"/>
  <c r="L13" i="1"/>
  <c r="V10" i="1"/>
  <c r="U10" i="1"/>
  <c r="S20" i="1"/>
  <c r="S19" i="1"/>
  <c r="V9" i="1"/>
  <c r="U9" i="1"/>
  <c r="P2" i="1"/>
  <c r="P3" i="1"/>
  <c r="P4" i="1"/>
  <c r="P5" i="1"/>
  <c r="O2" i="1"/>
  <c r="O3" i="1"/>
  <c r="O4" i="1"/>
  <c r="O5" i="1"/>
  <c r="P1" i="1"/>
  <c r="P6" i="1" s="1"/>
  <c r="O1" i="1"/>
  <c r="O6" i="1" s="1"/>
  <c r="M2" i="1"/>
  <c r="M3" i="1"/>
  <c r="M4" i="1"/>
  <c r="M5" i="1"/>
  <c r="M6" i="1"/>
  <c r="M7" i="1"/>
  <c r="M8" i="1"/>
  <c r="M9" i="1"/>
  <c r="M10" i="1"/>
  <c r="M11" i="1"/>
  <c r="M13" i="1"/>
  <c r="M12" i="1"/>
  <c r="L12" i="1"/>
  <c r="L10" i="1"/>
  <c r="L11" i="1"/>
  <c r="L2" i="1"/>
  <c r="L3" i="1"/>
  <c r="L4" i="1"/>
  <c r="L5" i="1"/>
  <c r="L6" i="1"/>
  <c r="L7" i="1"/>
  <c r="L8" i="1"/>
  <c r="L9" i="1"/>
  <c r="M1" i="1"/>
  <c r="M14" i="1" s="1"/>
  <c r="L1" i="1"/>
  <c r="L14" i="1" s="1"/>
  <c r="J2" i="1"/>
  <c r="J3" i="1"/>
  <c r="J1" i="1"/>
  <c r="J4" i="1" s="1"/>
  <c r="I2" i="1"/>
  <c r="I3" i="1"/>
  <c r="I1" i="1"/>
  <c r="I4" i="1" s="1"/>
  <c r="G4" i="1"/>
  <c r="G5" i="1"/>
  <c r="G3" i="1"/>
  <c r="G2" i="1"/>
  <c r="G1" i="1"/>
  <c r="G6" i="1" s="1"/>
  <c r="F5" i="1"/>
  <c r="F4" i="1"/>
  <c r="F3" i="1"/>
  <c r="F2" i="1"/>
  <c r="F1" i="1"/>
  <c r="F6" i="1" s="1"/>
</calcChain>
</file>

<file path=xl/sharedStrings.xml><?xml version="1.0" encoding="utf-8"?>
<sst xmlns="http://schemas.openxmlformats.org/spreadsheetml/2006/main" count="55" uniqueCount="48">
  <si>
    <t>Ai Emissions Scenario Generator</t>
  </si>
  <si>
    <t>ISO/IEC 15067-3-51</t>
  </si>
  <si>
    <t>ITU-T L.1305</t>
  </si>
  <si>
    <t>ITU-T L Supplement 42</t>
  </si>
  <si>
    <t>IEEE 2937-2022</t>
  </si>
  <si>
    <t>tensorrt</t>
  </si>
  <si>
    <t>Code Carbon</t>
  </si>
  <si>
    <t>Data Carbon Ladder</t>
  </si>
  <si>
    <t>forecastVeg</t>
  </si>
  <si>
    <t>flaml</t>
  </si>
  <si>
    <t>ITU-T M.3381</t>
  </si>
  <si>
    <t>ITU-T L Supplement 41</t>
  </si>
  <si>
    <t>ITU-T L Supplement 43</t>
  </si>
  <si>
    <t>CIFAR AI Insights</t>
  </si>
  <si>
    <t>Data Carbon Scorecard</t>
  </si>
  <si>
    <t>Carbon Emissions and Large Neural Network Training</t>
  </si>
  <si>
    <t>Digital Impact Toolkit</t>
  </si>
  <si>
    <t>Litter detection review</t>
  </si>
  <si>
    <t>Advanced Precision Agriculture</t>
  </si>
  <si>
    <t>SECure</t>
  </si>
  <si>
    <t>Towards our Intelligent Future</t>
  </si>
  <si>
    <t>yopo-you-only-propagate-once</t>
  </si>
  <si>
    <t>xlearn</t>
  </si>
  <si>
    <t>whisper-jax</t>
  </si>
  <si>
    <t>EfficientFormerV2</t>
  </si>
  <si>
    <t xml:space="preserve">Arquitetura de visão computacional baseada em transformers, projetada para dispositivos móveis. </t>
  </si>
  <si>
    <t>Impacto indireto para reduzir o consumo energético em inferência de IA, especialmente em larga escala.</t>
  </si>
  <si>
    <t>Trata diretamente sobre a agenda ESG e os principais problemas emergentes (ex. pegada de carbono da IA generativa). É um documento abrangente.</t>
  </si>
  <si>
    <t>pytorch grad-cam</t>
  </si>
  <si>
    <t>flexgen</t>
  </si>
  <si>
    <t>Permite executar grandes modelos de linguagem com pouca memória de GPU.</t>
  </si>
  <si>
    <t xml:space="preserve">Bom impacto ESG operacional, mas não é o core ESG bancário.
</t>
  </si>
  <si>
    <t>KotlinDL</t>
  </si>
  <si>
    <t>onnxruntime</t>
  </si>
  <si>
    <t xml:space="preserve">Acelera a fase de inferência e treinamento de modelos de IA.
</t>
  </si>
  <si>
    <t>Projetado para reduzir custos computacionais (diminui consumo de energia), mas é um impacto indireto e não relacionado ao core ESG bancário.</t>
  </si>
  <si>
    <t>Oportuna</t>
  </si>
  <si>
    <t>NVIDIA DeepLearning Examples</t>
  </si>
  <si>
    <t>PyTorch C++</t>
  </si>
  <si>
    <t>Resources on scalability</t>
  </si>
  <si>
    <t>adanet</t>
  </si>
  <si>
    <t>Auto TensorFlow</t>
  </si>
  <si>
    <t>ISO/IEC 15938-17:2022</t>
  </si>
  <si>
    <t>ITU-T F.748.12</t>
  </si>
  <si>
    <t>Transfer learning tutorial</t>
  </si>
  <si>
    <t>Image Crop Analysis</t>
  </si>
  <si>
    <t>anime4k</t>
  </si>
  <si>
    <t>android-tensorflow-lite-example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</si>
</sst>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44"/>
  <sheetViews>
    <sheetView tabSelected="1" workbookViewId="0">
      <selection activeCell="F44" sqref="F44"/>
    </sheetView>
  </sheetViews>
  <sheetFormatPr defaultRowHeight="15"/>
  <cols>
    <col min="1" max="1" width="36.5703125" bestFit="1" customWidth="1"/>
    <col min="6" max="6" width="16.7109375" bestFit="1" customWidth="1"/>
    <col min="7" max="7" width="36.5703125" bestFit="1" customWidth="1"/>
    <col min="9" max="9" width="12.140625" bestFit="1" customWidth="1"/>
    <col min="10" max="10" width="36.5703125" bestFit="1" customWidth="1"/>
    <col min="12" max="12" width="15.42578125" bestFit="1" customWidth="1"/>
    <col min="13" max="13" width="36.5703125" bestFit="1" customWidth="1"/>
  </cols>
  <sheetData>
    <row r="1" spans="1:22">
      <c r="A1" t="s">
        <v>0</v>
      </c>
      <c r="B1">
        <v>27</v>
      </c>
      <c r="C1">
        <v>21</v>
      </c>
      <c r="F1">
        <f>B1</f>
        <v>27</v>
      </c>
      <c r="G1">
        <f>C1</f>
        <v>21</v>
      </c>
      <c r="I1">
        <f>B19</f>
        <v>68</v>
      </c>
      <c r="J1">
        <f>C19</f>
        <v>1825</v>
      </c>
      <c r="L1">
        <f>B24</f>
        <v>180</v>
      </c>
      <c r="M1">
        <f>C24</f>
        <v>2190</v>
      </c>
      <c r="O1">
        <f>B40</f>
        <v>1095</v>
      </c>
      <c r="P1">
        <f>C40</f>
        <v>1100</v>
      </c>
      <c r="R1">
        <v>180</v>
      </c>
      <c r="S1">
        <v>2190</v>
      </c>
      <c r="U1">
        <v>68</v>
      </c>
      <c r="V1">
        <v>1825</v>
      </c>
    </row>
    <row r="2" spans="1:22">
      <c r="A2" t="s">
        <v>1</v>
      </c>
      <c r="F2">
        <f>B6</f>
        <v>13000</v>
      </c>
      <c r="G2">
        <f>C6</f>
        <v>31</v>
      </c>
      <c r="I2">
        <f t="shared" ref="I2:I3" si="0">B20</f>
        <v>135</v>
      </c>
      <c r="J2">
        <f t="shared" ref="J2:J3" si="1">C20</f>
        <v>2190</v>
      </c>
      <c r="L2">
        <f t="shared" ref="L2:L11" si="2">B25</f>
        <v>3100</v>
      </c>
      <c r="M2">
        <f t="shared" ref="M2:M11" si="3">C25</f>
        <v>1460</v>
      </c>
      <c r="O2">
        <f t="shared" ref="O2:O6" si="4">B41</f>
        <v>722</v>
      </c>
      <c r="P2">
        <f t="shared" ref="P2:P5" si="5">C41</f>
        <v>2555</v>
      </c>
      <c r="R2">
        <v>3100</v>
      </c>
      <c r="S2">
        <v>1460</v>
      </c>
      <c r="U2">
        <v>135</v>
      </c>
      <c r="V2">
        <v>2190</v>
      </c>
    </row>
    <row r="3" spans="1:22">
      <c r="A3" t="s">
        <v>2</v>
      </c>
      <c r="F3">
        <f>B7</f>
        <v>1800</v>
      </c>
      <c r="G3">
        <f>C7</f>
        <v>0</v>
      </c>
      <c r="I3">
        <f t="shared" si="0"/>
        <v>6</v>
      </c>
      <c r="J3">
        <f t="shared" si="1"/>
        <v>2190</v>
      </c>
      <c r="L3">
        <f t="shared" si="2"/>
        <v>4700</v>
      </c>
      <c r="M3">
        <f t="shared" si="3"/>
        <v>730</v>
      </c>
      <c r="O3">
        <f t="shared" si="4"/>
        <v>254</v>
      </c>
      <c r="P3">
        <f t="shared" si="5"/>
        <v>1825</v>
      </c>
      <c r="R3">
        <v>4700</v>
      </c>
      <c r="S3">
        <v>730</v>
      </c>
      <c r="U3">
        <v>6</v>
      </c>
      <c r="V3">
        <v>2190</v>
      </c>
    </row>
    <row r="4" spans="1:22">
      <c r="A4" t="s">
        <v>3</v>
      </c>
      <c r="F4">
        <f>B9</f>
        <v>51</v>
      </c>
      <c r="G4">
        <f>C9</f>
        <v>1825</v>
      </c>
      <c r="I4">
        <f>MEDIAN(I1:I3)</f>
        <v>68</v>
      </c>
      <c r="J4">
        <f>MEDIAN(J1:J3)</f>
        <v>2190</v>
      </c>
      <c r="L4">
        <f t="shared" si="2"/>
        <v>14</v>
      </c>
      <c r="M4">
        <f t="shared" si="3"/>
        <v>12800</v>
      </c>
      <c r="O4">
        <f t="shared" si="4"/>
        <v>20900</v>
      </c>
      <c r="P4">
        <f t="shared" si="5"/>
        <v>730</v>
      </c>
      <c r="R4">
        <v>14</v>
      </c>
      <c r="S4">
        <v>12800</v>
      </c>
      <c r="U4">
        <v>1095</v>
      </c>
      <c r="V4">
        <v>1100</v>
      </c>
    </row>
    <row r="5" spans="1:22">
      <c r="A5" t="s">
        <v>4</v>
      </c>
      <c r="F5">
        <f>B10</f>
        <v>4300</v>
      </c>
      <c r="G5">
        <f>C10</f>
        <v>0</v>
      </c>
      <c r="L5">
        <f t="shared" si="2"/>
        <v>1600</v>
      </c>
      <c r="M5">
        <f t="shared" si="3"/>
        <v>1095</v>
      </c>
      <c r="O5">
        <f t="shared" si="4"/>
        <v>722</v>
      </c>
      <c r="P5">
        <f t="shared" si="5"/>
        <v>365</v>
      </c>
      <c r="R5">
        <v>1600</v>
      </c>
      <c r="S5">
        <v>1095</v>
      </c>
      <c r="U5">
        <v>722</v>
      </c>
      <c r="V5">
        <v>2555</v>
      </c>
    </row>
    <row r="6" spans="1:22">
      <c r="A6" t="s">
        <v>5</v>
      </c>
      <c r="B6">
        <v>13000</v>
      </c>
      <c r="C6">
        <v>31</v>
      </c>
      <c r="F6">
        <f>MEDIAN(F1:F5)</f>
        <v>1800</v>
      </c>
      <c r="G6">
        <f>MEDIAN(G1:G5)</f>
        <v>21</v>
      </c>
      <c r="L6">
        <f t="shared" si="2"/>
        <v>14100</v>
      </c>
      <c r="M6">
        <f t="shared" si="3"/>
        <v>7</v>
      </c>
      <c r="O6">
        <f>MEDIAN(O1:O5)</f>
        <v>722</v>
      </c>
      <c r="P6">
        <f>MEDIAN(P1:P5)</f>
        <v>1100</v>
      </c>
      <c r="R6">
        <v>14100</v>
      </c>
      <c r="S6">
        <v>7</v>
      </c>
      <c r="U6">
        <v>254</v>
      </c>
      <c r="V6">
        <v>1825</v>
      </c>
    </row>
    <row r="7" spans="1:22">
      <c r="A7" t="s">
        <v>6</v>
      </c>
      <c r="B7">
        <v>1800</v>
      </c>
      <c r="C7">
        <v>0</v>
      </c>
      <c r="L7">
        <f t="shared" si="2"/>
        <v>14800</v>
      </c>
      <c r="M7">
        <f t="shared" si="3"/>
        <v>730</v>
      </c>
      <c r="R7">
        <v>14800</v>
      </c>
      <c r="S7">
        <v>730</v>
      </c>
      <c r="U7">
        <v>20900</v>
      </c>
      <c r="V7">
        <v>730</v>
      </c>
    </row>
    <row r="8" spans="1:22">
      <c r="A8" t="s">
        <v>7</v>
      </c>
      <c r="L8">
        <f t="shared" si="2"/>
        <v>20500</v>
      </c>
      <c r="M8">
        <f t="shared" si="3"/>
        <v>0</v>
      </c>
      <c r="R8">
        <v>20500</v>
      </c>
      <c r="S8">
        <v>0</v>
      </c>
      <c r="U8">
        <v>722</v>
      </c>
      <c r="V8">
        <v>365</v>
      </c>
    </row>
    <row r="9" spans="1:22">
      <c r="A9" t="s">
        <v>8</v>
      </c>
      <c r="B9">
        <v>51</v>
      </c>
      <c r="C9">
        <v>1825</v>
      </c>
      <c r="L9">
        <f t="shared" si="2"/>
        <v>9400</v>
      </c>
      <c r="M9">
        <f t="shared" si="3"/>
        <v>730</v>
      </c>
      <c r="R9">
        <v>9400</v>
      </c>
      <c r="S9">
        <v>730</v>
      </c>
      <c r="U9">
        <f>MEDIAN(U1:U8)</f>
        <v>488</v>
      </c>
      <c r="V9">
        <f>MEDIAN(V1:V8)</f>
        <v>1825</v>
      </c>
    </row>
    <row r="10" spans="1:22">
      <c r="A10" t="s">
        <v>9</v>
      </c>
      <c r="B10">
        <v>4300</v>
      </c>
      <c r="C10">
        <v>0</v>
      </c>
      <c r="L10">
        <f>B33</f>
        <v>2100</v>
      </c>
      <c r="M10">
        <f t="shared" si="3"/>
        <v>279</v>
      </c>
      <c r="R10">
        <v>2100</v>
      </c>
      <c r="S10">
        <v>279</v>
      </c>
      <c r="U10">
        <f>AVERAGE(U1:U8)</f>
        <v>2987.75</v>
      </c>
      <c r="V10">
        <f>AVERAGE(V1:V8)</f>
        <v>1597.5</v>
      </c>
    </row>
    <row r="11" spans="1:22">
      <c r="L11">
        <f t="shared" si="2"/>
        <v>70900</v>
      </c>
      <c r="M11">
        <f t="shared" si="3"/>
        <v>124</v>
      </c>
      <c r="R11">
        <v>70900</v>
      </c>
      <c r="S11">
        <v>124</v>
      </c>
    </row>
    <row r="12" spans="1:22">
      <c r="A12" t="s">
        <v>10</v>
      </c>
      <c r="L12">
        <f>B35</f>
        <v>3500</v>
      </c>
      <c r="M12">
        <f>C35</f>
        <v>1825</v>
      </c>
      <c r="R12">
        <v>3500</v>
      </c>
      <c r="S12">
        <v>1825</v>
      </c>
    </row>
    <row r="13" spans="1:22">
      <c r="A13" t="s">
        <v>11</v>
      </c>
      <c r="F13">
        <v>5</v>
      </c>
      <c r="G13">
        <v>7</v>
      </c>
      <c r="H13">
        <v>0</v>
      </c>
      <c r="I13">
        <v>2</v>
      </c>
      <c r="L13">
        <f>B36</f>
        <v>180</v>
      </c>
      <c r="M13">
        <f>C36</f>
        <v>1460</v>
      </c>
      <c r="R13">
        <v>180</v>
      </c>
      <c r="S13">
        <v>1460</v>
      </c>
    </row>
    <row r="14" spans="1:22">
      <c r="A14" t="s">
        <v>12</v>
      </c>
      <c r="L14">
        <f>MEDIAN(L1:L13)</f>
        <v>3500</v>
      </c>
      <c r="M14">
        <f>MEDIAN(M1:M13)</f>
        <v>730</v>
      </c>
      <c r="R14">
        <v>27</v>
      </c>
      <c r="S14">
        <v>21</v>
      </c>
    </row>
    <row r="15" spans="1:22">
      <c r="A15" t="s">
        <v>13</v>
      </c>
      <c r="G15">
        <v>0.217391304347826</v>
      </c>
      <c r="H15">
        <v>0.45</v>
      </c>
      <c r="R15">
        <v>13000</v>
      </c>
      <c r="S15">
        <v>31</v>
      </c>
    </row>
    <row r="16" spans="1:22">
      <c r="A16" t="s">
        <v>14</v>
      </c>
      <c r="R16">
        <v>1800</v>
      </c>
      <c r="S16">
        <v>0</v>
      </c>
    </row>
    <row r="17" spans="1:19" ht="30.75">
      <c r="A17" s="1" t="s">
        <v>15</v>
      </c>
      <c r="R17">
        <v>51</v>
      </c>
      <c r="S17">
        <v>1825</v>
      </c>
    </row>
    <row r="18" spans="1:19">
      <c r="A18" t="s">
        <v>16</v>
      </c>
      <c r="R18">
        <v>4300</v>
      </c>
      <c r="S18">
        <v>0</v>
      </c>
    </row>
    <row r="19" spans="1:19">
      <c r="A19" t="s">
        <v>17</v>
      </c>
      <c r="B19">
        <v>68</v>
      </c>
      <c r="C19">
        <v>1825</v>
      </c>
      <c r="R19">
        <f>MEDIAN(R1:R18)</f>
        <v>3300</v>
      </c>
      <c r="S19">
        <f>MEDIAN(S1:S18)</f>
        <v>730</v>
      </c>
    </row>
    <row r="20" spans="1:19">
      <c r="A20" t="s">
        <v>18</v>
      </c>
      <c r="B20">
        <v>135</v>
      </c>
      <c r="C20">
        <v>2190</v>
      </c>
      <c r="R20">
        <f>AVERAGE(R1:R18)</f>
        <v>9125.1111111111113</v>
      </c>
      <c r="S20">
        <f>AVERAGE(S1:S18)</f>
        <v>1405.9444444444443</v>
      </c>
    </row>
    <row r="21" spans="1:19">
      <c r="A21" t="s">
        <v>19</v>
      </c>
      <c r="B21">
        <v>6</v>
      </c>
      <c r="C21">
        <v>2190</v>
      </c>
    </row>
    <row r="22" spans="1:19">
      <c r="A22" t="s">
        <v>20</v>
      </c>
    </row>
    <row r="24" spans="1:19">
      <c r="A24" t="s">
        <v>21</v>
      </c>
      <c r="B24">
        <v>180</v>
      </c>
      <c r="C24">
        <v>2190</v>
      </c>
    </row>
    <row r="25" spans="1:19">
      <c r="A25" t="s">
        <v>22</v>
      </c>
      <c r="B25">
        <v>3100</v>
      </c>
      <c r="C25">
        <v>1460</v>
      </c>
    </row>
    <row r="26" spans="1:19" ht="60.75">
      <c r="A26" t="s">
        <v>23</v>
      </c>
      <c r="B26">
        <v>4700</v>
      </c>
      <c r="C26">
        <v>730</v>
      </c>
      <c r="F26" t="s">
        <v>24</v>
      </c>
      <c r="G26" s="1" t="s">
        <v>25</v>
      </c>
      <c r="I26" s="2" t="s">
        <v>5</v>
      </c>
      <c r="J26" s="1" t="s">
        <v>26</v>
      </c>
      <c r="L26" t="s">
        <v>13</v>
      </c>
      <c r="M26" s="1" t="s">
        <v>27</v>
      </c>
    </row>
    <row r="27" spans="1:19" ht="45.75">
      <c r="A27" t="s">
        <v>28</v>
      </c>
      <c r="B27">
        <v>14</v>
      </c>
      <c r="C27">
        <v>12800</v>
      </c>
      <c r="F27" t="s">
        <v>29</v>
      </c>
      <c r="G27" s="1" t="s">
        <v>30</v>
      </c>
      <c r="I27" t="s">
        <v>6</v>
      </c>
      <c r="J27" s="1" t="s">
        <v>31</v>
      </c>
    </row>
    <row r="28" spans="1:19" ht="137.25">
      <c r="A28" t="s">
        <v>32</v>
      </c>
      <c r="B28">
        <v>1600</v>
      </c>
      <c r="C28">
        <v>1095</v>
      </c>
      <c r="F28" t="s">
        <v>33</v>
      </c>
      <c r="G28" s="1" t="s">
        <v>34</v>
      </c>
      <c r="I28" s="2" t="s">
        <v>9</v>
      </c>
      <c r="J28" s="1" t="s">
        <v>35</v>
      </c>
    </row>
    <row r="29" spans="1:19">
      <c r="A29" t="s">
        <v>36</v>
      </c>
      <c r="B29">
        <v>14100</v>
      </c>
      <c r="C29">
        <v>7</v>
      </c>
    </row>
    <row r="30" spans="1:19">
      <c r="A30" t="s">
        <v>37</v>
      </c>
      <c r="B30" s="2">
        <v>14800</v>
      </c>
      <c r="C30" s="2">
        <v>730</v>
      </c>
    </row>
    <row r="31" spans="1:19">
      <c r="A31" t="s">
        <v>33</v>
      </c>
      <c r="B31">
        <v>20500</v>
      </c>
      <c r="C31">
        <v>0</v>
      </c>
    </row>
    <row r="32" spans="1:19">
      <c r="A32" t="s">
        <v>29</v>
      </c>
      <c r="B32">
        <v>9400</v>
      </c>
      <c r="C32">
        <v>730</v>
      </c>
    </row>
    <row r="33" spans="1:3">
      <c r="A33" t="s">
        <v>38</v>
      </c>
      <c r="B33">
        <v>2100</v>
      </c>
      <c r="C33">
        <v>279</v>
      </c>
    </row>
    <row r="34" spans="1:3">
      <c r="A34" t="s">
        <v>39</v>
      </c>
      <c r="B34">
        <v>70900</v>
      </c>
      <c r="C34">
        <v>124</v>
      </c>
    </row>
    <row r="35" spans="1:3">
      <c r="A35" t="s">
        <v>40</v>
      </c>
      <c r="B35">
        <v>3500</v>
      </c>
      <c r="C35">
        <v>1825</v>
      </c>
    </row>
    <row r="36" spans="1:3">
      <c r="A36" t="s">
        <v>41</v>
      </c>
      <c r="B36">
        <v>180</v>
      </c>
      <c r="C36">
        <v>1460</v>
      </c>
    </row>
    <row r="38" spans="1:3">
      <c r="A38" t="s">
        <v>42</v>
      </c>
    </row>
    <row r="39" spans="1:3">
      <c r="A39" t="s">
        <v>43</v>
      </c>
    </row>
    <row r="40" spans="1:3">
      <c r="A40" t="s">
        <v>24</v>
      </c>
      <c r="B40">
        <v>1095</v>
      </c>
      <c r="C40">
        <v>1100</v>
      </c>
    </row>
    <row r="41" spans="1:3">
      <c r="A41" t="s">
        <v>44</v>
      </c>
      <c r="B41">
        <v>722</v>
      </c>
      <c r="C41">
        <v>2555</v>
      </c>
    </row>
    <row r="42" spans="1:3">
      <c r="A42" t="s">
        <v>45</v>
      </c>
      <c r="B42">
        <v>254</v>
      </c>
      <c r="C42">
        <v>1825</v>
      </c>
    </row>
    <row r="43" spans="1:3">
      <c r="A43" t="s">
        <v>46</v>
      </c>
      <c r="B43">
        <v>20900</v>
      </c>
      <c r="C43">
        <v>730</v>
      </c>
    </row>
    <row r="44" spans="1:3">
      <c r="A44" t="s">
        <v>47</v>
      </c>
      <c r="B44">
        <v>722</v>
      </c>
      <c r="C44">
        <v>365</v>
      </c>
    </row>
  </sheetData>
  <pageMargins left="0.7" right="0.7" top="0.75" bottom="0.75" header="0.3" footer="0.3"/>
  <pageSetup paperSize="5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2026-05-09T15:58:48Z</dcterms:created>
  <dcterms:modified xsi:type="dcterms:W3CDTF">2026-05-21T21:33:32Z</dcterms:modified>
  <cp:category/>
  <cp:contentStatus/>
</cp:coreProperties>
</file>