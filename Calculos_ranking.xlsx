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25AD0\EXCELCNV\5cabe953-0566-4e02-acd5-f9abb2d155b3\"/>
    </mc:Choice>
  </mc:AlternateContent>
  <xr:revisionPtr revIDLastSave="0" documentId="8_{46CED550-8321-4977-B25E-A160C62C1C4C}" xr6:coauthVersionLast="47" xr6:coauthVersionMax="47" xr10:uidLastSave="{00000000-0000-0000-0000-000000000000}"/>
  <bookViews>
    <workbookView xWindow="-60" yWindow="-60" windowWidth="15480" windowHeight="11640" firstSheet="1" xr2:uid="{F0A002B4-1EE6-4754-8129-4D1D90D1ABBB}"/>
  </bookViews>
  <sheets>
    <sheet name="in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" l="1"/>
  <c r="K3" i="2"/>
  <c r="K34" i="2"/>
  <c r="K35" i="2"/>
  <c r="K4" i="2"/>
  <c r="K36" i="2"/>
  <c r="K37" i="2"/>
  <c r="K15" i="2"/>
  <c r="K11" i="2"/>
  <c r="K16" i="2"/>
  <c r="K24" i="2"/>
  <c r="K41" i="2"/>
  <c r="K25" i="2"/>
  <c r="K17" i="2"/>
  <c r="K8" i="2"/>
  <c r="K26" i="2"/>
  <c r="K27" i="2"/>
  <c r="K32" i="2"/>
  <c r="K40" i="2"/>
  <c r="K28" i="2"/>
  <c r="K30" i="2"/>
  <c r="K42" i="2"/>
  <c r="K10" i="2"/>
  <c r="K33" i="2"/>
  <c r="K39" i="2"/>
  <c r="K6" i="2"/>
  <c r="K21" i="2"/>
  <c r="K43" i="2"/>
  <c r="K7" i="2"/>
  <c r="K12" i="2"/>
  <c r="K14" i="2"/>
  <c r="K19" i="2"/>
  <c r="K20" i="2"/>
  <c r="K5" i="2"/>
  <c r="K9" i="2"/>
  <c r="K31" i="2"/>
  <c r="K18" i="2"/>
  <c r="K22" i="2"/>
  <c r="K23" i="2"/>
  <c r="K29" i="2"/>
  <c r="K38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2" i="1"/>
  <c r="I3" i="1"/>
  <c r="P3" i="1" s="1"/>
  <c r="I4" i="1"/>
  <c r="P4" i="1" s="1"/>
  <c r="I5" i="1"/>
  <c r="P5" i="1" s="1"/>
  <c r="I6" i="1"/>
  <c r="P6" i="1" s="1"/>
  <c r="I7" i="1"/>
  <c r="P7" i="1" s="1"/>
  <c r="I8" i="1"/>
  <c r="P8" i="1" s="1"/>
  <c r="I9" i="1"/>
  <c r="P9" i="1" s="1"/>
  <c r="I10" i="1"/>
  <c r="P10" i="1" s="1"/>
  <c r="I11" i="1"/>
  <c r="P11" i="1" s="1"/>
  <c r="I12" i="1"/>
  <c r="P12" i="1" s="1"/>
  <c r="I13" i="1"/>
  <c r="P13" i="1" s="1"/>
  <c r="I14" i="1"/>
  <c r="P14" i="1" s="1"/>
  <c r="I15" i="1"/>
  <c r="P15" i="1" s="1"/>
  <c r="I16" i="1"/>
  <c r="P16" i="1" s="1"/>
  <c r="I17" i="1"/>
  <c r="P17" i="1" s="1"/>
  <c r="I18" i="1"/>
  <c r="P18" i="1" s="1"/>
  <c r="I19" i="1"/>
  <c r="P19" i="1" s="1"/>
  <c r="I20" i="1"/>
  <c r="P20" i="1" s="1"/>
  <c r="I21" i="1"/>
  <c r="P21" i="1" s="1"/>
  <c r="I22" i="1"/>
  <c r="P22" i="1" s="1"/>
  <c r="I23" i="1"/>
  <c r="P23" i="1" s="1"/>
  <c r="I24" i="1"/>
  <c r="P24" i="1" s="1"/>
  <c r="I25" i="1"/>
  <c r="P25" i="1" s="1"/>
  <c r="I26" i="1"/>
  <c r="P26" i="1" s="1"/>
  <c r="I27" i="1"/>
  <c r="P27" i="1" s="1"/>
  <c r="I28" i="1"/>
  <c r="P28" i="1" s="1"/>
  <c r="I29" i="1"/>
  <c r="P29" i="1" s="1"/>
  <c r="I30" i="1"/>
  <c r="P30" i="1" s="1"/>
  <c r="I31" i="1"/>
  <c r="P31" i="1" s="1"/>
  <c r="I32" i="1"/>
  <c r="P32" i="1" s="1"/>
  <c r="I33" i="1"/>
  <c r="P33" i="1" s="1"/>
  <c r="I34" i="1"/>
  <c r="P34" i="1" s="1"/>
  <c r="I35" i="1"/>
  <c r="P35" i="1" s="1"/>
  <c r="I36" i="1"/>
  <c r="P36" i="1" s="1"/>
  <c r="I37" i="1"/>
  <c r="P37" i="1" s="1"/>
  <c r="I38" i="1"/>
  <c r="P38" i="1" s="1"/>
  <c r="I39" i="1"/>
  <c r="P39" i="1" s="1"/>
  <c r="I40" i="1"/>
  <c r="P40" i="1" s="1"/>
  <c r="I41" i="1"/>
  <c r="P41" i="1" s="1"/>
  <c r="I42" i="1"/>
  <c r="P42" i="1" s="1"/>
  <c r="I2" i="1"/>
  <c r="P2" i="1" s="1"/>
  <c r="H3" i="1"/>
  <c r="O3" i="1" s="1"/>
  <c r="H4" i="1"/>
  <c r="O4" i="1" s="1"/>
  <c r="H5" i="1"/>
  <c r="O5" i="1" s="1"/>
  <c r="H6" i="1"/>
  <c r="O6" i="1" s="1"/>
  <c r="H7" i="1"/>
  <c r="O7" i="1" s="1"/>
  <c r="H8" i="1"/>
  <c r="O8" i="1" s="1"/>
  <c r="H9" i="1"/>
  <c r="O9" i="1" s="1"/>
  <c r="H10" i="1"/>
  <c r="O10" i="1" s="1"/>
  <c r="H11" i="1"/>
  <c r="O11" i="1" s="1"/>
  <c r="H12" i="1"/>
  <c r="O12" i="1" s="1"/>
  <c r="H13" i="1"/>
  <c r="O13" i="1" s="1"/>
  <c r="H14" i="1"/>
  <c r="O14" i="1" s="1"/>
  <c r="H15" i="1"/>
  <c r="O15" i="1" s="1"/>
  <c r="H16" i="1"/>
  <c r="O16" i="1" s="1"/>
  <c r="H17" i="1"/>
  <c r="O17" i="1" s="1"/>
  <c r="H18" i="1"/>
  <c r="O18" i="1" s="1"/>
  <c r="H19" i="1"/>
  <c r="O19" i="1" s="1"/>
  <c r="H20" i="1"/>
  <c r="O20" i="1" s="1"/>
  <c r="H21" i="1"/>
  <c r="O21" i="1" s="1"/>
  <c r="H22" i="1"/>
  <c r="O22" i="1" s="1"/>
  <c r="H23" i="1"/>
  <c r="O23" i="1" s="1"/>
  <c r="H24" i="1"/>
  <c r="O24" i="1" s="1"/>
  <c r="H25" i="1"/>
  <c r="O25" i="1" s="1"/>
  <c r="H26" i="1"/>
  <c r="O26" i="1" s="1"/>
  <c r="H27" i="1"/>
  <c r="O27" i="1" s="1"/>
  <c r="H28" i="1"/>
  <c r="O28" i="1" s="1"/>
  <c r="H29" i="1"/>
  <c r="O29" i="1" s="1"/>
  <c r="H30" i="1"/>
  <c r="O30" i="1" s="1"/>
  <c r="H31" i="1"/>
  <c r="O31" i="1" s="1"/>
  <c r="H32" i="1"/>
  <c r="O32" i="1" s="1"/>
  <c r="H33" i="1"/>
  <c r="O33" i="1" s="1"/>
  <c r="H34" i="1"/>
  <c r="O34" i="1" s="1"/>
  <c r="H35" i="1"/>
  <c r="O35" i="1" s="1"/>
  <c r="H36" i="1"/>
  <c r="O36" i="1" s="1"/>
  <c r="H37" i="1"/>
  <c r="O37" i="1" s="1"/>
  <c r="H38" i="1"/>
  <c r="O38" i="1" s="1"/>
  <c r="H39" i="1"/>
  <c r="O39" i="1" s="1"/>
  <c r="H40" i="1"/>
  <c r="O40" i="1" s="1"/>
  <c r="H41" i="1"/>
  <c r="O41" i="1" s="1"/>
  <c r="H42" i="1"/>
  <c r="O42" i="1" s="1"/>
  <c r="H2" i="1"/>
  <c r="O2" i="1" s="1"/>
</calcChain>
</file>

<file path=xl/sharedStrings.xml><?xml version="1.0" encoding="utf-8"?>
<sst xmlns="http://schemas.openxmlformats.org/spreadsheetml/2006/main" count="142" uniqueCount="51">
  <si>
    <t>Nome</t>
  </si>
  <si>
    <t>ESG</t>
  </si>
  <si>
    <t>Contexto</t>
  </si>
  <si>
    <t>Acessibilidade</t>
  </si>
  <si>
    <t>Maturidade</t>
  </si>
  <si>
    <t>Integracao_Transparencia</t>
  </si>
  <si>
    <t>X</t>
  </si>
  <si>
    <t>Y</t>
  </si>
  <si>
    <t>Ai Emissions Scenario Generator</t>
  </si>
  <si>
    <t>ISO/IEC 15938-17:2022</t>
  </si>
  <si>
    <t>ISO/IEC 15067-3-51</t>
  </si>
  <si>
    <t>ITU-T L.1305</t>
  </si>
  <si>
    <t>ITU-T F.748.12</t>
  </si>
  <si>
    <t>ITU-T L Supplement 42</t>
  </si>
  <si>
    <t>IEEE 2937-2022</t>
  </si>
  <si>
    <t>ITU-T M.3381,  ITU-T L Supplement 41 e ITU-T L Supplement 43</t>
  </si>
  <si>
    <t>yopo-you-only-propagate-once</t>
  </si>
  <si>
    <t>xlearn</t>
  </si>
  <si>
    <t>whisper-jax</t>
  </si>
  <si>
    <t>tensorrt</t>
  </si>
  <si>
    <t>pytorch grad-cam</t>
  </si>
  <si>
    <t>KotlinDL</t>
  </si>
  <si>
    <t>EfficientFormerV2</t>
  </si>
  <si>
    <t>recycle</t>
  </si>
  <si>
    <t>Oportuna</t>
  </si>
  <si>
    <t>NVIDIA DeepLearning Examples</t>
  </si>
  <si>
    <t>onnxruntime</t>
  </si>
  <si>
    <t>CIFAR AI Insights</t>
  </si>
  <si>
    <t>Data Carbon Scorecard</t>
  </si>
  <si>
    <t>Carbon Emissions and Large Neural Network Training</t>
  </si>
  <si>
    <t>Code Carbon</t>
  </si>
  <si>
    <t>Digital Impact Toolkit</t>
  </si>
  <si>
    <t>Data Carbon Ladder</t>
  </si>
  <si>
    <t>forecastVeg</t>
  </si>
  <si>
    <t>Transfer learning tutorial</t>
  </si>
  <si>
    <t>flexgen</t>
  </si>
  <si>
    <t>flaml</t>
  </si>
  <si>
    <t>Image Crop Analysis</t>
  </si>
  <si>
    <t>PyTorch C++</t>
  </si>
  <si>
    <t>Resources on scalability</t>
  </si>
  <si>
    <t>Litter detection review</t>
  </si>
  <si>
    <t>Advanced Precision Agriculture</t>
  </si>
  <si>
    <t>anime4k</t>
  </si>
  <si>
    <t>android-tensorflow-lite-example</t>
  </si>
  <si>
    <t>SECure</t>
  </si>
  <si>
    <t>Towards our Intelligent Future</t>
  </si>
  <si>
    <t>adanet</t>
  </si>
  <si>
    <t>Auto TensorFlow</t>
  </si>
  <si>
    <t>acoustic-bird-detection</t>
  </si>
  <si>
    <t>Integração/transparência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</si>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</sst>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F8CBB-CEC3-40EB-B7D3-F9B5A153886E}" name="Tabela1" displayName="Tabela1" ref="E2:K43" totalsRowShown="0">
  <autoFilter ref="E2:K43" xr:uid="{177F8CBB-CEC3-40EB-B7D3-F9B5A153886E}"/>
  <sortState xmlns:xlrd2="http://schemas.microsoft.com/office/spreadsheetml/2017/richdata2" ref="E3:K43">
    <sortCondition ref="K2:K43"/>
  </sortState>
  <tableColumns count="7">
    <tableColumn id="1" xr3:uid="{1E97152B-AE98-4D67-96DF-FAB2E0213F50}" name="Nome"/>
    <tableColumn id="2" xr3:uid="{8DE14AC4-B285-4188-90E0-A19A9A07FDD5}" name="ESG"/>
    <tableColumn id="3" xr3:uid="{F3B53062-356C-4454-ABC0-181B630A64EE}" name="Contexto"/>
    <tableColumn id="4" xr3:uid="{590473A3-7DCE-4982-9CEA-334ECEF07BC0}" name="Acessibilidade"/>
    <tableColumn id="5" xr3:uid="{3A0B3232-1D5A-453B-BC88-CAD9A3FF1EB5}" name="Maturidade"/>
    <tableColumn id="6" xr3:uid="{09C98238-D7CB-45A8-8A6B-B35E90D539DF}" name="Integração/transparência"/>
    <tableColumn id="7" xr3:uid="{A6151019-631F-4757-8833-6614770B15D1}" name="Total">
      <calculatedColumnFormula>SUM(F3:J3)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DE3DA-3D24-45E3-9018-04CBC26DDF82}">
  <dimension ref="A1:P42"/>
  <sheetViews>
    <sheetView tabSelected="1" workbookViewId="0">
      <selection activeCell="R23" sqref="R23"/>
    </sheetView>
  </sheetViews>
  <sheetFormatPr defaultRowHeight="15"/>
  <cols>
    <col min="1" max="2" width="36.5703125" bestFit="1" customWidth="1"/>
    <col min="3" max="4" width="13.140625" bestFit="1" customWidth="1"/>
    <col min="5" max="5" width="11.140625" bestFit="1" customWidth="1"/>
    <col min="6" max="6" width="23.57031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N1" t="s">
        <v>0</v>
      </c>
      <c r="O1" t="s">
        <v>6</v>
      </c>
      <c r="P1" t="s">
        <v>7</v>
      </c>
    </row>
    <row r="2" spans="1:16">
      <c r="A2" t="s">
        <v>8</v>
      </c>
      <c r="B2">
        <v>1</v>
      </c>
      <c r="C2">
        <v>1</v>
      </c>
      <c r="D2">
        <v>1</v>
      </c>
      <c r="E2">
        <v>1</v>
      </c>
      <c r="F2">
        <v>2</v>
      </c>
      <c r="H2">
        <f>B2*0.4641</f>
        <v>0.46410000000000001</v>
      </c>
      <c r="I2">
        <f>C2*0.2017</f>
        <v>0.20169999999999999</v>
      </c>
      <c r="J2">
        <f>D2*0.0888</f>
        <v>8.8800000000000004E-2</v>
      </c>
      <c r="K2">
        <f>E2*0.0436</f>
        <v>4.36E-2</v>
      </c>
      <c r="L2">
        <f>F2*0.2017</f>
        <v>0.40339999999999998</v>
      </c>
      <c r="N2" t="str">
        <f>A2</f>
        <v>Ai Emissions Scenario Generator</v>
      </c>
      <c r="O2">
        <f>H2</f>
        <v>0.46410000000000001</v>
      </c>
      <c r="P2">
        <f>SUM(I2:L2)</f>
        <v>0.73749999999999993</v>
      </c>
    </row>
    <row r="3" spans="1:16">
      <c r="A3" t="s">
        <v>9</v>
      </c>
      <c r="B3">
        <v>0</v>
      </c>
      <c r="C3">
        <v>0</v>
      </c>
      <c r="D3">
        <v>2</v>
      </c>
      <c r="E3">
        <v>2</v>
      </c>
      <c r="F3">
        <v>1</v>
      </c>
      <c r="H3">
        <f t="shared" ref="H3:H42" si="0">B3*0.4641</f>
        <v>0</v>
      </c>
      <c r="I3">
        <f t="shared" ref="I3:I42" si="1">C3*0.2017</f>
        <v>0</v>
      </c>
      <c r="J3">
        <f t="shared" ref="J3:J42" si="2">D3*0.0888</f>
        <v>0.17760000000000001</v>
      </c>
      <c r="K3">
        <f t="shared" ref="K3:K42" si="3">E3*0.0436</f>
        <v>8.72E-2</v>
      </c>
      <c r="L3">
        <f t="shared" ref="L3:L42" si="4">F3*0.2017</f>
        <v>0.20169999999999999</v>
      </c>
      <c r="N3" t="str">
        <f>A3</f>
        <v>ISO/IEC 15938-17:2022</v>
      </c>
      <c r="O3">
        <f t="shared" ref="O3:O42" si="5">H3</f>
        <v>0</v>
      </c>
      <c r="P3">
        <f t="shared" ref="P3:P42" si="6">SUM(I3:L3)</f>
        <v>0.46650000000000003</v>
      </c>
    </row>
    <row r="4" spans="1:16">
      <c r="A4" t="s">
        <v>10</v>
      </c>
      <c r="B4">
        <v>1</v>
      </c>
      <c r="C4">
        <v>1</v>
      </c>
      <c r="D4">
        <v>2</v>
      </c>
      <c r="E4">
        <v>2</v>
      </c>
      <c r="F4">
        <v>1</v>
      </c>
      <c r="H4">
        <f t="shared" si="0"/>
        <v>0.46410000000000001</v>
      </c>
      <c r="I4">
        <f t="shared" si="1"/>
        <v>0.20169999999999999</v>
      </c>
      <c r="J4">
        <f t="shared" si="2"/>
        <v>0.17760000000000001</v>
      </c>
      <c r="K4">
        <f t="shared" si="3"/>
        <v>8.72E-2</v>
      </c>
      <c r="L4">
        <f t="shared" si="4"/>
        <v>0.20169999999999999</v>
      </c>
      <c r="N4" t="str">
        <f t="shared" ref="N4:N42" si="7">A4</f>
        <v>ISO/IEC 15067-3-51</v>
      </c>
      <c r="O4">
        <f t="shared" si="5"/>
        <v>0.46410000000000001</v>
      </c>
      <c r="P4">
        <f t="shared" si="6"/>
        <v>0.66819999999999991</v>
      </c>
    </row>
    <row r="5" spans="1:16">
      <c r="A5" t="s">
        <v>11</v>
      </c>
      <c r="B5">
        <v>1</v>
      </c>
      <c r="C5">
        <v>1</v>
      </c>
      <c r="D5">
        <v>2</v>
      </c>
      <c r="E5">
        <v>2</v>
      </c>
      <c r="F5">
        <v>1</v>
      </c>
      <c r="H5">
        <f t="shared" si="0"/>
        <v>0.46410000000000001</v>
      </c>
      <c r="I5">
        <f t="shared" si="1"/>
        <v>0.20169999999999999</v>
      </c>
      <c r="J5">
        <f t="shared" si="2"/>
        <v>0.17760000000000001</v>
      </c>
      <c r="K5">
        <f t="shared" si="3"/>
        <v>8.72E-2</v>
      </c>
      <c r="L5">
        <f t="shared" si="4"/>
        <v>0.20169999999999999</v>
      </c>
      <c r="N5" t="str">
        <f t="shared" si="7"/>
        <v>ITU-T L.1305</v>
      </c>
      <c r="O5">
        <f t="shared" si="5"/>
        <v>0.46410000000000001</v>
      </c>
      <c r="P5">
        <f t="shared" si="6"/>
        <v>0.66819999999999991</v>
      </c>
    </row>
    <row r="6" spans="1:16">
      <c r="A6" t="s">
        <v>12</v>
      </c>
      <c r="B6">
        <v>0</v>
      </c>
      <c r="C6">
        <v>0</v>
      </c>
      <c r="D6">
        <v>2</v>
      </c>
      <c r="E6">
        <v>2</v>
      </c>
      <c r="F6">
        <v>1</v>
      </c>
      <c r="H6">
        <f t="shared" si="0"/>
        <v>0</v>
      </c>
      <c r="I6">
        <f t="shared" si="1"/>
        <v>0</v>
      </c>
      <c r="J6">
        <f t="shared" si="2"/>
        <v>0.17760000000000001</v>
      </c>
      <c r="K6">
        <f t="shared" si="3"/>
        <v>8.72E-2</v>
      </c>
      <c r="L6">
        <f t="shared" si="4"/>
        <v>0.20169999999999999</v>
      </c>
      <c r="N6" t="str">
        <f t="shared" si="7"/>
        <v>ITU-T F.748.12</v>
      </c>
      <c r="O6">
        <f t="shared" si="5"/>
        <v>0</v>
      </c>
      <c r="P6">
        <f t="shared" si="6"/>
        <v>0.46650000000000003</v>
      </c>
    </row>
    <row r="7" spans="1:16">
      <c r="A7" t="s">
        <v>13</v>
      </c>
      <c r="B7">
        <v>1</v>
      </c>
      <c r="C7">
        <v>1</v>
      </c>
      <c r="D7">
        <v>2</v>
      </c>
      <c r="E7">
        <v>2</v>
      </c>
      <c r="F7">
        <v>1</v>
      </c>
      <c r="H7">
        <f t="shared" si="0"/>
        <v>0.46410000000000001</v>
      </c>
      <c r="I7">
        <f t="shared" si="1"/>
        <v>0.20169999999999999</v>
      </c>
      <c r="J7">
        <f t="shared" si="2"/>
        <v>0.17760000000000001</v>
      </c>
      <c r="K7">
        <f t="shared" si="3"/>
        <v>8.72E-2</v>
      </c>
      <c r="L7">
        <f t="shared" si="4"/>
        <v>0.20169999999999999</v>
      </c>
      <c r="N7" t="str">
        <f t="shared" si="7"/>
        <v>ITU-T L Supplement 42</v>
      </c>
      <c r="O7">
        <f t="shared" si="5"/>
        <v>0.46410000000000001</v>
      </c>
      <c r="P7">
        <f t="shared" si="6"/>
        <v>0.66819999999999991</v>
      </c>
    </row>
    <row r="8" spans="1:16">
      <c r="A8" t="s">
        <v>14</v>
      </c>
      <c r="B8">
        <v>1</v>
      </c>
      <c r="C8">
        <v>1</v>
      </c>
      <c r="D8">
        <v>2</v>
      </c>
      <c r="E8">
        <v>2</v>
      </c>
      <c r="F8">
        <v>1</v>
      </c>
      <c r="H8">
        <f t="shared" si="0"/>
        <v>0.46410000000000001</v>
      </c>
      <c r="I8">
        <f t="shared" si="1"/>
        <v>0.20169999999999999</v>
      </c>
      <c r="J8">
        <f t="shared" si="2"/>
        <v>0.17760000000000001</v>
      </c>
      <c r="K8">
        <f t="shared" si="3"/>
        <v>8.72E-2</v>
      </c>
      <c r="L8">
        <f t="shared" si="4"/>
        <v>0.20169999999999999</v>
      </c>
      <c r="N8" t="str">
        <f t="shared" si="7"/>
        <v>IEEE 2937-2022</v>
      </c>
      <c r="O8">
        <f t="shared" si="5"/>
        <v>0.46410000000000001</v>
      </c>
      <c r="P8">
        <f t="shared" si="6"/>
        <v>0.66819999999999991</v>
      </c>
    </row>
    <row r="9" spans="1:16" ht="30.75">
      <c r="A9" s="1" t="s">
        <v>15</v>
      </c>
      <c r="B9" s="1">
        <v>1</v>
      </c>
      <c r="C9">
        <v>0</v>
      </c>
      <c r="D9">
        <v>2</v>
      </c>
      <c r="E9">
        <v>2</v>
      </c>
      <c r="F9">
        <v>0</v>
      </c>
      <c r="H9">
        <f t="shared" si="0"/>
        <v>0.46410000000000001</v>
      </c>
      <c r="I9">
        <f t="shared" si="1"/>
        <v>0</v>
      </c>
      <c r="J9">
        <f t="shared" si="2"/>
        <v>0.17760000000000001</v>
      </c>
      <c r="K9">
        <f t="shared" si="3"/>
        <v>8.72E-2</v>
      </c>
      <c r="L9">
        <f t="shared" si="4"/>
        <v>0</v>
      </c>
      <c r="N9" t="str">
        <f t="shared" si="7"/>
        <v>ITU-T M.3381,  ITU-T L Supplement 41 e ITU-T L Supplement 43</v>
      </c>
      <c r="O9">
        <f t="shared" si="5"/>
        <v>0.46410000000000001</v>
      </c>
      <c r="P9">
        <f t="shared" si="6"/>
        <v>0.26480000000000004</v>
      </c>
    </row>
    <row r="10" spans="1:16">
      <c r="A10" t="s">
        <v>16</v>
      </c>
      <c r="B10">
        <v>0</v>
      </c>
      <c r="C10">
        <v>0</v>
      </c>
      <c r="D10">
        <v>2</v>
      </c>
      <c r="E10">
        <v>1</v>
      </c>
      <c r="F10">
        <v>2</v>
      </c>
      <c r="H10">
        <f t="shared" si="0"/>
        <v>0</v>
      </c>
      <c r="I10">
        <f t="shared" si="1"/>
        <v>0</v>
      </c>
      <c r="J10">
        <f t="shared" si="2"/>
        <v>0.17760000000000001</v>
      </c>
      <c r="K10">
        <f t="shared" si="3"/>
        <v>4.36E-2</v>
      </c>
      <c r="L10">
        <f t="shared" si="4"/>
        <v>0.40339999999999998</v>
      </c>
      <c r="N10" t="str">
        <f t="shared" si="7"/>
        <v>yopo-you-only-propagate-once</v>
      </c>
      <c r="O10">
        <f t="shared" si="5"/>
        <v>0</v>
      </c>
      <c r="P10">
        <f t="shared" si="6"/>
        <v>0.62460000000000004</v>
      </c>
    </row>
    <row r="11" spans="1:16">
      <c r="A11" t="s">
        <v>17</v>
      </c>
      <c r="B11">
        <v>0</v>
      </c>
      <c r="C11">
        <v>1</v>
      </c>
      <c r="D11">
        <v>1</v>
      </c>
      <c r="E11">
        <v>1</v>
      </c>
      <c r="F11">
        <v>2</v>
      </c>
      <c r="H11">
        <f t="shared" si="0"/>
        <v>0</v>
      </c>
      <c r="I11">
        <f t="shared" si="1"/>
        <v>0.20169999999999999</v>
      </c>
      <c r="J11">
        <f t="shared" si="2"/>
        <v>8.8800000000000004E-2</v>
      </c>
      <c r="K11">
        <f t="shared" si="3"/>
        <v>4.36E-2</v>
      </c>
      <c r="L11">
        <f t="shared" si="4"/>
        <v>0.40339999999999998</v>
      </c>
      <c r="N11" t="str">
        <f t="shared" si="7"/>
        <v>xlearn</v>
      </c>
      <c r="O11">
        <f t="shared" si="5"/>
        <v>0</v>
      </c>
      <c r="P11">
        <f t="shared" si="6"/>
        <v>0.73749999999999993</v>
      </c>
    </row>
    <row r="12" spans="1:16">
      <c r="A12" t="s">
        <v>18</v>
      </c>
      <c r="B12">
        <v>0</v>
      </c>
      <c r="C12">
        <v>1</v>
      </c>
      <c r="D12">
        <v>2</v>
      </c>
      <c r="E12">
        <v>2</v>
      </c>
      <c r="F12">
        <v>2</v>
      </c>
      <c r="H12">
        <f t="shared" si="0"/>
        <v>0</v>
      </c>
      <c r="I12">
        <f t="shared" si="1"/>
        <v>0.20169999999999999</v>
      </c>
      <c r="J12">
        <f t="shared" si="2"/>
        <v>0.17760000000000001</v>
      </c>
      <c r="K12">
        <f t="shared" si="3"/>
        <v>8.72E-2</v>
      </c>
      <c r="L12">
        <f t="shared" si="4"/>
        <v>0.40339999999999998</v>
      </c>
      <c r="N12" t="str">
        <f t="shared" si="7"/>
        <v>whisper-jax</v>
      </c>
      <c r="O12">
        <f t="shared" si="5"/>
        <v>0</v>
      </c>
      <c r="P12">
        <f t="shared" si="6"/>
        <v>0.8698999999999999</v>
      </c>
    </row>
    <row r="13" spans="1:16">
      <c r="A13" t="s">
        <v>19</v>
      </c>
      <c r="B13">
        <v>1</v>
      </c>
      <c r="C13">
        <v>1</v>
      </c>
      <c r="D13">
        <v>2</v>
      </c>
      <c r="E13">
        <v>2</v>
      </c>
      <c r="F13">
        <v>2</v>
      </c>
      <c r="H13">
        <f t="shared" si="0"/>
        <v>0.46410000000000001</v>
      </c>
      <c r="I13">
        <f t="shared" si="1"/>
        <v>0.20169999999999999</v>
      </c>
      <c r="J13">
        <f t="shared" si="2"/>
        <v>0.17760000000000001</v>
      </c>
      <c r="K13">
        <f t="shared" si="3"/>
        <v>8.72E-2</v>
      </c>
      <c r="L13">
        <f t="shared" si="4"/>
        <v>0.40339999999999998</v>
      </c>
      <c r="N13" t="str">
        <f t="shared" si="7"/>
        <v>tensorrt</v>
      </c>
      <c r="O13">
        <f t="shared" si="5"/>
        <v>0.46410000000000001</v>
      </c>
      <c r="P13">
        <f t="shared" si="6"/>
        <v>0.8698999999999999</v>
      </c>
    </row>
    <row r="14" spans="1:16">
      <c r="A14" t="s">
        <v>20</v>
      </c>
      <c r="B14">
        <v>0</v>
      </c>
      <c r="C14">
        <v>1</v>
      </c>
      <c r="D14">
        <v>2</v>
      </c>
      <c r="E14">
        <v>2</v>
      </c>
      <c r="F14">
        <v>2</v>
      </c>
      <c r="H14">
        <f t="shared" si="0"/>
        <v>0</v>
      </c>
      <c r="I14">
        <f t="shared" si="1"/>
        <v>0.20169999999999999</v>
      </c>
      <c r="J14">
        <f t="shared" si="2"/>
        <v>0.17760000000000001</v>
      </c>
      <c r="K14">
        <f t="shared" si="3"/>
        <v>8.72E-2</v>
      </c>
      <c r="L14">
        <f t="shared" si="4"/>
        <v>0.40339999999999998</v>
      </c>
      <c r="N14" t="str">
        <f t="shared" si="7"/>
        <v>pytorch grad-cam</v>
      </c>
      <c r="O14">
        <f t="shared" si="5"/>
        <v>0</v>
      </c>
      <c r="P14">
        <f t="shared" si="6"/>
        <v>0.8698999999999999</v>
      </c>
    </row>
    <row r="15" spans="1:16">
      <c r="A15" t="s">
        <v>21</v>
      </c>
      <c r="B15">
        <v>0</v>
      </c>
      <c r="C15">
        <v>1</v>
      </c>
      <c r="D15">
        <v>1</v>
      </c>
      <c r="E15">
        <v>1</v>
      </c>
      <c r="F15">
        <v>2</v>
      </c>
      <c r="H15">
        <f t="shared" si="0"/>
        <v>0</v>
      </c>
      <c r="I15">
        <f t="shared" si="1"/>
        <v>0.20169999999999999</v>
      </c>
      <c r="J15">
        <f t="shared" si="2"/>
        <v>8.8800000000000004E-2</v>
      </c>
      <c r="K15">
        <f t="shared" si="3"/>
        <v>4.36E-2</v>
      </c>
      <c r="L15">
        <f t="shared" si="4"/>
        <v>0.40339999999999998</v>
      </c>
      <c r="N15" t="str">
        <f t="shared" si="7"/>
        <v>KotlinDL</v>
      </c>
      <c r="O15">
        <f t="shared" si="5"/>
        <v>0</v>
      </c>
      <c r="P15">
        <f t="shared" si="6"/>
        <v>0.73749999999999993</v>
      </c>
    </row>
    <row r="16" spans="1:16">
      <c r="A16" t="s">
        <v>22</v>
      </c>
      <c r="B16">
        <v>0</v>
      </c>
      <c r="C16">
        <v>0</v>
      </c>
      <c r="D16">
        <v>1</v>
      </c>
      <c r="E16">
        <v>1</v>
      </c>
      <c r="F16">
        <v>2</v>
      </c>
      <c r="H16">
        <f t="shared" si="0"/>
        <v>0</v>
      </c>
      <c r="I16">
        <f t="shared" si="1"/>
        <v>0</v>
      </c>
      <c r="J16">
        <f t="shared" si="2"/>
        <v>8.8800000000000004E-2</v>
      </c>
      <c r="K16">
        <f t="shared" si="3"/>
        <v>4.36E-2</v>
      </c>
      <c r="L16">
        <f t="shared" si="4"/>
        <v>0.40339999999999998</v>
      </c>
      <c r="N16" t="str">
        <f t="shared" si="7"/>
        <v>EfficientFormerV2</v>
      </c>
      <c r="O16">
        <f t="shared" si="5"/>
        <v>0</v>
      </c>
      <c r="P16">
        <f t="shared" si="6"/>
        <v>0.53580000000000005</v>
      </c>
    </row>
    <row r="17" spans="1:16">
      <c r="A17" t="s">
        <v>23</v>
      </c>
      <c r="B17">
        <v>1</v>
      </c>
      <c r="C17">
        <v>0</v>
      </c>
      <c r="D17">
        <v>0</v>
      </c>
      <c r="E17">
        <v>0</v>
      </c>
      <c r="F17">
        <v>1</v>
      </c>
      <c r="H17">
        <f t="shared" si="0"/>
        <v>0.46410000000000001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4"/>
        <v>0.20169999999999999</v>
      </c>
      <c r="N17" t="str">
        <f t="shared" si="7"/>
        <v>recycle</v>
      </c>
      <c r="O17">
        <f t="shared" si="5"/>
        <v>0.46410000000000001</v>
      </c>
      <c r="P17">
        <f t="shared" si="6"/>
        <v>0.20169999999999999</v>
      </c>
    </row>
    <row r="18" spans="1:16">
      <c r="A18" t="s">
        <v>24</v>
      </c>
      <c r="B18">
        <v>0</v>
      </c>
      <c r="C18">
        <v>1</v>
      </c>
      <c r="D18">
        <v>2</v>
      </c>
      <c r="E18">
        <v>2</v>
      </c>
      <c r="F18">
        <v>2</v>
      </c>
      <c r="H18">
        <f t="shared" si="0"/>
        <v>0</v>
      </c>
      <c r="I18">
        <f t="shared" si="1"/>
        <v>0.20169999999999999</v>
      </c>
      <c r="J18">
        <f t="shared" si="2"/>
        <v>0.17760000000000001</v>
      </c>
      <c r="K18">
        <f t="shared" si="3"/>
        <v>8.72E-2</v>
      </c>
      <c r="L18">
        <f t="shared" si="4"/>
        <v>0.40339999999999998</v>
      </c>
      <c r="N18" t="str">
        <f t="shared" si="7"/>
        <v>Oportuna</v>
      </c>
      <c r="O18">
        <f t="shared" si="5"/>
        <v>0</v>
      </c>
      <c r="P18">
        <f t="shared" si="6"/>
        <v>0.8698999999999999</v>
      </c>
    </row>
    <row r="19" spans="1:16">
      <c r="A19" t="s">
        <v>25</v>
      </c>
      <c r="B19">
        <v>0</v>
      </c>
      <c r="C19">
        <v>1</v>
      </c>
      <c r="D19">
        <v>2</v>
      </c>
      <c r="E19">
        <v>2</v>
      </c>
      <c r="F19">
        <v>2</v>
      </c>
      <c r="H19">
        <f t="shared" si="0"/>
        <v>0</v>
      </c>
      <c r="I19">
        <f t="shared" si="1"/>
        <v>0.20169999999999999</v>
      </c>
      <c r="J19">
        <f t="shared" si="2"/>
        <v>0.17760000000000001</v>
      </c>
      <c r="K19">
        <f t="shared" si="3"/>
        <v>8.72E-2</v>
      </c>
      <c r="L19">
        <f t="shared" si="4"/>
        <v>0.40339999999999998</v>
      </c>
      <c r="N19" t="str">
        <f t="shared" si="7"/>
        <v>NVIDIA DeepLearning Examples</v>
      </c>
      <c r="O19">
        <f t="shared" si="5"/>
        <v>0</v>
      </c>
      <c r="P19">
        <f t="shared" si="6"/>
        <v>0.8698999999999999</v>
      </c>
    </row>
    <row r="20" spans="1:16">
      <c r="A20" t="s">
        <v>26</v>
      </c>
      <c r="B20">
        <v>0</v>
      </c>
      <c r="C20">
        <v>2</v>
      </c>
      <c r="D20">
        <v>2</v>
      </c>
      <c r="E20">
        <v>2</v>
      </c>
      <c r="F20">
        <v>2</v>
      </c>
      <c r="H20">
        <f t="shared" si="0"/>
        <v>0</v>
      </c>
      <c r="I20">
        <f t="shared" si="1"/>
        <v>0.40339999999999998</v>
      </c>
      <c r="J20">
        <f t="shared" si="2"/>
        <v>0.17760000000000001</v>
      </c>
      <c r="K20">
        <f t="shared" si="3"/>
        <v>8.72E-2</v>
      </c>
      <c r="L20">
        <f t="shared" si="4"/>
        <v>0.40339999999999998</v>
      </c>
      <c r="N20" t="str">
        <f t="shared" si="7"/>
        <v>onnxruntime</v>
      </c>
      <c r="O20">
        <f t="shared" si="5"/>
        <v>0</v>
      </c>
      <c r="P20">
        <f t="shared" si="6"/>
        <v>1.0715999999999999</v>
      </c>
    </row>
    <row r="21" spans="1:16">
      <c r="A21" t="s">
        <v>27</v>
      </c>
      <c r="B21">
        <v>2</v>
      </c>
      <c r="C21">
        <v>1</v>
      </c>
      <c r="D21">
        <v>1</v>
      </c>
      <c r="E21">
        <v>1</v>
      </c>
      <c r="F21">
        <v>0</v>
      </c>
      <c r="H21">
        <f t="shared" si="0"/>
        <v>0.92820000000000003</v>
      </c>
      <c r="I21">
        <f t="shared" si="1"/>
        <v>0.20169999999999999</v>
      </c>
      <c r="J21">
        <f t="shared" si="2"/>
        <v>8.8800000000000004E-2</v>
      </c>
      <c r="K21">
        <f t="shared" si="3"/>
        <v>4.36E-2</v>
      </c>
      <c r="L21">
        <f t="shared" si="4"/>
        <v>0</v>
      </c>
      <c r="N21" t="str">
        <f t="shared" si="7"/>
        <v>CIFAR AI Insights</v>
      </c>
      <c r="O21">
        <f t="shared" si="5"/>
        <v>0.92820000000000003</v>
      </c>
      <c r="P21">
        <f t="shared" si="6"/>
        <v>0.33409999999999995</v>
      </c>
    </row>
    <row r="22" spans="1:16">
      <c r="A22" t="s">
        <v>28</v>
      </c>
      <c r="B22">
        <v>1</v>
      </c>
      <c r="C22">
        <v>1</v>
      </c>
      <c r="D22">
        <v>2</v>
      </c>
      <c r="E22">
        <v>1</v>
      </c>
      <c r="F22">
        <v>0</v>
      </c>
      <c r="H22">
        <f t="shared" si="0"/>
        <v>0.46410000000000001</v>
      </c>
      <c r="I22">
        <f t="shared" si="1"/>
        <v>0.20169999999999999</v>
      </c>
      <c r="J22">
        <f t="shared" si="2"/>
        <v>0.17760000000000001</v>
      </c>
      <c r="K22">
        <f t="shared" si="3"/>
        <v>4.36E-2</v>
      </c>
      <c r="L22">
        <f t="shared" si="4"/>
        <v>0</v>
      </c>
      <c r="N22" t="str">
        <f t="shared" si="7"/>
        <v>Data Carbon Scorecard</v>
      </c>
      <c r="O22">
        <f t="shared" si="5"/>
        <v>0.46410000000000001</v>
      </c>
      <c r="P22">
        <f t="shared" si="6"/>
        <v>0.42289999999999994</v>
      </c>
    </row>
    <row r="23" spans="1:16" ht="30.75">
      <c r="A23" s="1" t="s">
        <v>29</v>
      </c>
      <c r="B23">
        <v>1</v>
      </c>
      <c r="C23">
        <v>1</v>
      </c>
      <c r="D23">
        <v>1</v>
      </c>
      <c r="E23">
        <v>2</v>
      </c>
      <c r="F23">
        <v>1</v>
      </c>
      <c r="H23">
        <f t="shared" si="0"/>
        <v>0.46410000000000001</v>
      </c>
      <c r="I23">
        <f t="shared" si="1"/>
        <v>0.20169999999999999</v>
      </c>
      <c r="J23">
        <f t="shared" si="2"/>
        <v>8.8800000000000004E-2</v>
      </c>
      <c r="K23">
        <f t="shared" si="3"/>
        <v>8.72E-2</v>
      </c>
      <c r="L23">
        <f t="shared" si="4"/>
        <v>0.20169999999999999</v>
      </c>
      <c r="N23" t="str">
        <f t="shared" si="7"/>
        <v>Carbon Emissions and Large Neural Network Training</v>
      </c>
      <c r="O23">
        <f t="shared" si="5"/>
        <v>0.46410000000000001</v>
      </c>
      <c r="P23">
        <f t="shared" si="6"/>
        <v>0.57939999999999992</v>
      </c>
    </row>
    <row r="24" spans="1:16">
      <c r="A24" t="s">
        <v>30</v>
      </c>
      <c r="B24">
        <v>1</v>
      </c>
      <c r="C24">
        <v>1</v>
      </c>
      <c r="D24">
        <v>2</v>
      </c>
      <c r="E24">
        <v>2</v>
      </c>
      <c r="F24">
        <v>2</v>
      </c>
      <c r="H24">
        <f t="shared" si="0"/>
        <v>0.46410000000000001</v>
      </c>
      <c r="I24">
        <f t="shared" si="1"/>
        <v>0.20169999999999999</v>
      </c>
      <c r="J24">
        <f t="shared" si="2"/>
        <v>0.17760000000000001</v>
      </c>
      <c r="K24">
        <f t="shared" si="3"/>
        <v>8.72E-2</v>
      </c>
      <c r="L24">
        <f t="shared" si="4"/>
        <v>0.40339999999999998</v>
      </c>
      <c r="N24" t="str">
        <f t="shared" si="7"/>
        <v>Code Carbon</v>
      </c>
      <c r="O24">
        <f t="shared" si="5"/>
        <v>0.46410000000000001</v>
      </c>
      <c r="P24">
        <f t="shared" si="6"/>
        <v>0.8698999999999999</v>
      </c>
    </row>
    <row r="25" spans="1:16">
      <c r="A25" t="s">
        <v>31</v>
      </c>
      <c r="B25">
        <v>1</v>
      </c>
      <c r="C25">
        <v>0</v>
      </c>
      <c r="D25">
        <v>1</v>
      </c>
      <c r="E25">
        <v>1</v>
      </c>
      <c r="F25">
        <v>0</v>
      </c>
      <c r="H25">
        <f t="shared" si="0"/>
        <v>0.46410000000000001</v>
      </c>
      <c r="I25">
        <f t="shared" si="1"/>
        <v>0</v>
      </c>
      <c r="J25">
        <f t="shared" si="2"/>
        <v>8.8800000000000004E-2</v>
      </c>
      <c r="K25">
        <f t="shared" si="3"/>
        <v>4.36E-2</v>
      </c>
      <c r="L25">
        <f t="shared" si="4"/>
        <v>0</v>
      </c>
      <c r="N25" t="str">
        <f t="shared" si="7"/>
        <v>Digital Impact Toolkit</v>
      </c>
      <c r="O25">
        <f t="shared" si="5"/>
        <v>0.46410000000000001</v>
      </c>
      <c r="P25">
        <f t="shared" si="6"/>
        <v>0.13240000000000002</v>
      </c>
    </row>
    <row r="26" spans="1:16">
      <c r="A26" t="s">
        <v>32</v>
      </c>
      <c r="B26">
        <v>1</v>
      </c>
      <c r="C26">
        <v>1</v>
      </c>
      <c r="D26">
        <v>2</v>
      </c>
      <c r="E26">
        <v>1</v>
      </c>
      <c r="F26">
        <v>1</v>
      </c>
      <c r="H26">
        <f t="shared" si="0"/>
        <v>0.46410000000000001</v>
      </c>
      <c r="I26">
        <f t="shared" si="1"/>
        <v>0.20169999999999999</v>
      </c>
      <c r="J26">
        <f t="shared" si="2"/>
        <v>0.17760000000000001</v>
      </c>
      <c r="K26">
        <f t="shared" si="3"/>
        <v>4.36E-2</v>
      </c>
      <c r="L26">
        <f t="shared" si="4"/>
        <v>0.20169999999999999</v>
      </c>
      <c r="N26" t="str">
        <f t="shared" si="7"/>
        <v>Data Carbon Ladder</v>
      </c>
      <c r="O26">
        <f t="shared" si="5"/>
        <v>0.46410000000000001</v>
      </c>
      <c r="P26">
        <f t="shared" si="6"/>
        <v>0.62459999999999993</v>
      </c>
    </row>
    <row r="27" spans="1:16">
      <c r="A27" t="s">
        <v>33</v>
      </c>
      <c r="B27">
        <v>1</v>
      </c>
      <c r="C27">
        <v>1</v>
      </c>
      <c r="D27">
        <v>2</v>
      </c>
      <c r="E27">
        <v>0</v>
      </c>
      <c r="F27">
        <v>2</v>
      </c>
      <c r="H27">
        <f t="shared" si="0"/>
        <v>0.46410000000000001</v>
      </c>
      <c r="I27">
        <f t="shared" si="1"/>
        <v>0.20169999999999999</v>
      </c>
      <c r="J27">
        <f t="shared" si="2"/>
        <v>0.17760000000000001</v>
      </c>
      <c r="K27">
        <f t="shared" si="3"/>
        <v>0</v>
      </c>
      <c r="L27">
        <f t="shared" si="4"/>
        <v>0.40339999999999998</v>
      </c>
      <c r="N27" t="str">
        <f t="shared" si="7"/>
        <v>forecastVeg</v>
      </c>
      <c r="O27">
        <f t="shared" si="5"/>
        <v>0.46410000000000001</v>
      </c>
      <c r="P27">
        <f t="shared" si="6"/>
        <v>0.78269999999999995</v>
      </c>
    </row>
    <row r="28" spans="1:16">
      <c r="A28" t="s">
        <v>34</v>
      </c>
      <c r="B28">
        <v>0</v>
      </c>
      <c r="C28">
        <v>0</v>
      </c>
      <c r="D28">
        <v>1</v>
      </c>
      <c r="E28">
        <v>0</v>
      </c>
      <c r="F28">
        <v>2</v>
      </c>
      <c r="H28">
        <f t="shared" si="0"/>
        <v>0</v>
      </c>
      <c r="I28">
        <f t="shared" si="1"/>
        <v>0</v>
      </c>
      <c r="J28">
        <f t="shared" si="2"/>
        <v>8.8800000000000004E-2</v>
      </c>
      <c r="K28">
        <f t="shared" si="3"/>
        <v>0</v>
      </c>
      <c r="L28">
        <f t="shared" si="4"/>
        <v>0.40339999999999998</v>
      </c>
      <c r="N28" t="str">
        <f t="shared" si="7"/>
        <v>Transfer learning tutorial</v>
      </c>
      <c r="O28">
        <f t="shared" si="5"/>
        <v>0</v>
      </c>
      <c r="P28">
        <f t="shared" si="6"/>
        <v>0.49219999999999997</v>
      </c>
    </row>
    <row r="29" spans="1:16">
      <c r="A29" t="s">
        <v>35</v>
      </c>
      <c r="B29">
        <v>0</v>
      </c>
      <c r="C29">
        <v>1</v>
      </c>
      <c r="D29">
        <v>2</v>
      </c>
      <c r="E29">
        <v>0</v>
      </c>
      <c r="F29">
        <v>2</v>
      </c>
      <c r="H29">
        <f t="shared" si="0"/>
        <v>0</v>
      </c>
      <c r="I29">
        <f t="shared" si="1"/>
        <v>0.20169999999999999</v>
      </c>
      <c r="J29">
        <f t="shared" si="2"/>
        <v>0.17760000000000001</v>
      </c>
      <c r="K29">
        <f t="shared" si="3"/>
        <v>0</v>
      </c>
      <c r="L29">
        <f t="shared" si="4"/>
        <v>0.40339999999999998</v>
      </c>
      <c r="N29" t="str">
        <f t="shared" si="7"/>
        <v>flexgen</v>
      </c>
      <c r="O29">
        <f t="shared" si="5"/>
        <v>0</v>
      </c>
      <c r="P29">
        <f t="shared" si="6"/>
        <v>0.78269999999999995</v>
      </c>
    </row>
    <row r="30" spans="1:16">
      <c r="A30" t="s">
        <v>36</v>
      </c>
      <c r="B30">
        <v>1</v>
      </c>
      <c r="C30">
        <v>2</v>
      </c>
      <c r="D30">
        <v>2</v>
      </c>
      <c r="E30">
        <v>2</v>
      </c>
      <c r="F30">
        <v>2</v>
      </c>
      <c r="H30">
        <f t="shared" si="0"/>
        <v>0.46410000000000001</v>
      </c>
      <c r="I30">
        <f t="shared" si="1"/>
        <v>0.40339999999999998</v>
      </c>
      <c r="J30">
        <f t="shared" si="2"/>
        <v>0.17760000000000001</v>
      </c>
      <c r="K30">
        <f t="shared" si="3"/>
        <v>8.72E-2</v>
      </c>
      <c r="L30">
        <f t="shared" si="4"/>
        <v>0.40339999999999998</v>
      </c>
      <c r="N30" t="str">
        <f t="shared" si="7"/>
        <v>flaml</v>
      </c>
      <c r="O30">
        <f t="shared" si="5"/>
        <v>0.46410000000000001</v>
      </c>
      <c r="P30">
        <f t="shared" si="6"/>
        <v>1.0715999999999999</v>
      </c>
    </row>
    <row r="31" spans="1:16">
      <c r="A31" t="s">
        <v>37</v>
      </c>
      <c r="B31">
        <v>0</v>
      </c>
      <c r="C31">
        <v>0</v>
      </c>
      <c r="D31">
        <v>1</v>
      </c>
      <c r="E31">
        <v>0</v>
      </c>
      <c r="F31">
        <v>2</v>
      </c>
      <c r="H31">
        <f t="shared" si="0"/>
        <v>0</v>
      </c>
      <c r="I31">
        <f t="shared" si="1"/>
        <v>0</v>
      </c>
      <c r="J31">
        <f t="shared" si="2"/>
        <v>8.8800000000000004E-2</v>
      </c>
      <c r="K31">
        <f t="shared" si="3"/>
        <v>0</v>
      </c>
      <c r="L31">
        <f t="shared" si="4"/>
        <v>0.40339999999999998</v>
      </c>
      <c r="N31" t="str">
        <f t="shared" si="7"/>
        <v>Image Crop Analysis</v>
      </c>
      <c r="O31">
        <f t="shared" si="5"/>
        <v>0</v>
      </c>
      <c r="P31">
        <f t="shared" si="6"/>
        <v>0.49219999999999997</v>
      </c>
    </row>
    <row r="32" spans="1:16">
      <c r="A32" t="s">
        <v>38</v>
      </c>
      <c r="B32">
        <v>0</v>
      </c>
      <c r="C32">
        <v>0</v>
      </c>
      <c r="D32">
        <v>2</v>
      </c>
      <c r="E32">
        <v>1</v>
      </c>
      <c r="F32">
        <v>2</v>
      </c>
      <c r="H32">
        <f t="shared" si="0"/>
        <v>0</v>
      </c>
      <c r="I32">
        <f t="shared" si="1"/>
        <v>0</v>
      </c>
      <c r="J32">
        <f t="shared" si="2"/>
        <v>0.17760000000000001</v>
      </c>
      <c r="K32">
        <f t="shared" si="3"/>
        <v>4.36E-2</v>
      </c>
      <c r="L32">
        <f t="shared" si="4"/>
        <v>0.40339999999999998</v>
      </c>
      <c r="N32" t="str">
        <f t="shared" si="7"/>
        <v>PyTorch C++</v>
      </c>
      <c r="O32">
        <f t="shared" si="5"/>
        <v>0</v>
      </c>
      <c r="P32">
        <f t="shared" si="6"/>
        <v>0.62460000000000004</v>
      </c>
    </row>
    <row r="33" spans="1:16">
      <c r="A33" t="s">
        <v>39</v>
      </c>
      <c r="B33">
        <v>0</v>
      </c>
      <c r="C33">
        <v>1</v>
      </c>
      <c r="D33">
        <v>2</v>
      </c>
      <c r="E33">
        <v>2</v>
      </c>
      <c r="F33">
        <v>1</v>
      </c>
      <c r="H33">
        <f t="shared" si="0"/>
        <v>0</v>
      </c>
      <c r="I33">
        <f t="shared" si="1"/>
        <v>0.20169999999999999</v>
      </c>
      <c r="J33">
        <f t="shared" si="2"/>
        <v>0.17760000000000001</v>
      </c>
      <c r="K33">
        <f t="shared" si="3"/>
        <v>8.72E-2</v>
      </c>
      <c r="L33">
        <f t="shared" si="4"/>
        <v>0.20169999999999999</v>
      </c>
      <c r="N33" t="str">
        <f t="shared" si="7"/>
        <v>Resources on scalability</v>
      </c>
      <c r="O33">
        <f t="shared" si="5"/>
        <v>0</v>
      </c>
      <c r="P33">
        <f t="shared" si="6"/>
        <v>0.66819999999999991</v>
      </c>
    </row>
    <row r="34" spans="1:16">
      <c r="A34" t="s">
        <v>40</v>
      </c>
      <c r="B34">
        <v>1</v>
      </c>
      <c r="C34">
        <v>0</v>
      </c>
      <c r="D34">
        <v>1</v>
      </c>
      <c r="E34">
        <v>0</v>
      </c>
      <c r="F34">
        <v>1</v>
      </c>
      <c r="H34">
        <f t="shared" si="0"/>
        <v>0.46410000000000001</v>
      </c>
      <c r="I34">
        <f t="shared" si="1"/>
        <v>0</v>
      </c>
      <c r="J34">
        <f t="shared" si="2"/>
        <v>8.8800000000000004E-2</v>
      </c>
      <c r="K34">
        <f t="shared" si="3"/>
        <v>0</v>
      </c>
      <c r="L34">
        <f t="shared" si="4"/>
        <v>0.20169999999999999</v>
      </c>
      <c r="N34" t="str">
        <f t="shared" si="7"/>
        <v>Litter detection review</v>
      </c>
      <c r="O34">
        <f t="shared" si="5"/>
        <v>0.46410000000000001</v>
      </c>
      <c r="P34">
        <f t="shared" si="6"/>
        <v>0.29049999999999998</v>
      </c>
    </row>
    <row r="35" spans="1:16">
      <c r="A35" t="s">
        <v>41</v>
      </c>
      <c r="B35">
        <v>1</v>
      </c>
      <c r="C35">
        <v>0</v>
      </c>
      <c r="D35">
        <v>1</v>
      </c>
      <c r="E35">
        <v>0</v>
      </c>
      <c r="F35">
        <v>1</v>
      </c>
      <c r="H35">
        <f t="shared" si="0"/>
        <v>0.46410000000000001</v>
      </c>
      <c r="I35">
        <f t="shared" si="1"/>
        <v>0</v>
      </c>
      <c r="J35">
        <f t="shared" si="2"/>
        <v>8.8800000000000004E-2</v>
      </c>
      <c r="K35">
        <f t="shared" si="3"/>
        <v>0</v>
      </c>
      <c r="L35">
        <f t="shared" si="4"/>
        <v>0.20169999999999999</v>
      </c>
      <c r="N35" t="str">
        <f t="shared" si="7"/>
        <v>Advanced Precision Agriculture</v>
      </c>
      <c r="O35">
        <f t="shared" si="5"/>
        <v>0.46410000000000001</v>
      </c>
      <c r="P35">
        <f t="shared" si="6"/>
        <v>0.29049999999999998</v>
      </c>
    </row>
    <row r="36" spans="1:16">
      <c r="A36" t="s">
        <v>42</v>
      </c>
      <c r="B36">
        <v>0</v>
      </c>
      <c r="C36">
        <v>0</v>
      </c>
      <c r="D36">
        <v>2</v>
      </c>
      <c r="E36">
        <v>2</v>
      </c>
      <c r="F36">
        <v>1</v>
      </c>
      <c r="H36">
        <f t="shared" si="0"/>
        <v>0</v>
      </c>
      <c r="I36">
        <f t="shared" si="1"/>
        <v>0</v>
      </c>
      <c r="J36">
        <f t="shared" si="2"/>
        <v>0.17760000000000001</v>
      </c>
      <c r="K36">
        <f t="shared" si="3"/>
        <v>8.72E-2</v>
      </c>
      <c r="L36">
        <f t="shared" si="4"/>
        <v>0.20169999999999999</v>
      </c>
      <c r="N36" t="str">
        <f t="shared" si="7"/>
        <v>anime4k</v>
      </c>
      <c r="O36">
        <f t="shared" si="5"/>
        <v>0</v>
      </c>
      <c r="P36">
        <f t="shared" si="6"/>
        <v>0.46650000000000003</v>
      </c>
    </row>
    <row r="37" spans="1:16">
      <c r="A37" t="s">
        <v>43</v>
      </c>
      <c r="B37">
        <v>0</v>
      </c>
      <c r="C37">
        <v>0</v>
      </c>
      <c r="D37">
        <v>2</v>
      </c>
      <c r="E37">
        <v>0</v>
      </c>
      <c r="F37">
        <v>2</v>
      </c>
      <c r="H37">
        <f t="shared" si="0"/>
        <v>0</v>
      </c>
      <c r="I37">
        <f t="shared" si="1"/>
        <v>0</v>
      </c>
      <c r="J37">
        <f t="shared" si="2"/>
        <v>0.17760000000000001</v>
      </c>
      <c r="K37">
        <f t="shared" si="3"/>
        <v>0</v>
      </c>
      <c r="L37">
        <f t="shared" si="4"/>
        <v>0.40339999999999998</v>
      </c>
      <c r="N37" t="str">
        <f t="shared" si="7"/>
        <v>android-tensorflow-lite-example</v>
      </c>
      <c r="O37">
        <f t="shared" si="5"/>
        <v>0</v>
      </c>
      <c r="P37">
        <f t="shared" si="6"/>
        <v>0.58099999999999996</v>
      </c>
    </row>
    <row r="38" spans="1:16">
      <c r="A38" t="s">
        <v>44</v>
      </c>
      <c r="B38">
        <v>1</v>
      </c>
      <c r="C38">
        <v>1</v>
      </c>
      <c r="D38">
        <v>2</v>
      </c>
      <c r="E38">
        <v>0</v>
      </c>
      <c r="F38">
        <v>1</v>
      </c>
      <c r="H38">
        <f t="shared" si="0"/>
        <v>0.46410000000000001</v>
      </c>
      <c r="I38">
        <f t="shared" si="1"/>
        <v>0.20169999999999999</v>
      </c>
      <c r="J38">
        <f t="shared" si="2"/>
        <v>0.17760000000000001</v>
      </c>
      <c r="K38">
        <f t="shared" si="3"/>
        <v>0</v>
      </c>
      <c r="L38">
        <f t="shared" si="4"/>
        <v>0.20169999999999999</v>
      </c>
      <c r="N38" t="str">
        <f t="shared" si="7"/>
        <v>SECure</v>
      </c>
      <c r="O38">
        <f t="shared" si="5"/>
        <v>0.46410000000000001</v>
      </c>
      <c r="P38">
        <f t="shared" si="6"/>
        <v>0.58099999999999996</v>
      </c>
    </row>
    <row r="39" spans="1:16">
      <c r="A39" t="s">
        <v>45</v>
      </c>
      <c r="B39">
        <v>1</v>
      </c>
      <c r="C39">
        <v>1</v>
      </c>
      <c r="D39">
        <v>0</v>
      </c>
      <c r="E39">
        <v>2</v>
      </c>
      <c r="F39">
        <v>0</v>
      </c>
      <c r="H39">
        <f t="shared" si="0"/>
        <v>0.46410000000000001</v>
      </c>
      <c r="I39">
        <f t="shared" si="1"/>
        <v>0.20169999999999999</v>
      </c>
      <c r="J39">
        <f t="shared" si="2"/>
        <v>0</v>
      </c>
      <c r="K39">
        <f t="shared" si="3"/>
        <v>8.72E-2</v>
      </c>
      <c r="L39">
        <f t="shared" si="4"/>
        <v>0</v>
      </c>
      <c r="N39" t="str">
        <f t="shared" si="7"/>
        <v>Towards our Intelligent Future</v>
      </c>
      <c r="O39">
        <f t="shared" si="5"/>
        <v>0.46410000000000001</v>
      </c>
      <c r="P39">
        <f t="shared" si="6"/>
        <v>0.28889999999999999</v>
      </c>
    </row>
    <row r="40" spans="1:16">
      <c r="A40" t="s">
        <v>46</v>
      </c>
      <c r="B40">
        <v>0</v>
      </c>
      <c r="C40">
        <v>1</v>
      </c>
      <c r="D40">
        <v>2</v>
      </c>
      <c r="E40">
        <v>1</v>
      </c>
      <c r="F40">
        <v>2</v>
      </c>
      <c r="H40">
        <f t="shared" si="0"/>
        <v>0</v>
      </c>
      <c r="I40">
        <f t="shared" si="1"/>
        <v>0.20169999999999999</v>
      </c>
      <c r="J40">
        <f t="shared" si="2"/>
        <v>0.17760000000000001</v>
      </c>
      <c r="K40">
        <f t="shared" si="3"/>
        <v>4.36E-2</v>
      </c>
      <c r="L40">
        <f t="shared" si="4"/>
        <v>0.40339999999999998</v>
      </c>
      <c r="N40" t="str">
        <f t="shared" si="7"/>
        <v>adanet</v>
      </c>
      <c r="O40">
        <f t="shared" si="5"/>
        <v>0</v>
      </c>
      <c r="P40">
        <f t="shared" si="6"/>
        <v>0.82629999999999992</v>
      </c>
    </row>
    <row r="41" spans="1:16">
      <c r="A41" t="s">
        <v>47</v>
      </c>
      <c r="B41">
        <v>0</v>
      </c>
      <c r="C41">
        <v>1</v>
      </c>
      <c r="D41">
        <v>2</v>
      </c>
      <c r="E41">
        <v>1</v>
      </c>
      <c r="F41">
        <v>2</v>
      </c>
      <c r="H41">
        <f t="shared" si="0"/>
        <v>0</v>
      </c>
      <c r="I41">
        <f t="shared" si="1"/>
        <v>0.20169999999999999</v>
      </c>
      <c r="J41">
        <f t="shared" si="2"/>
        <v>0.17760000000000001</v>
      </c>
      <c r="K41">
        <f t="shared" si="3"/>
        <v>4.36E-2</v>
      </c>
      <c r="L41">
        <f t="shared" si="4"/>
        <v>0.40339999999999998</v>
      </c>
      <c r="N41" t="str">
        <f t="shared" si="7"/>
        <v>Auto TensorFlow</v>
      </c>
      <c r="O41">
        <f t="shared" si="5"/>
        <v>0</v>
      </c>
      <c r="P41">
        <f t="shared" si="6"/>
        <v>0.82629999999999992</v>
      </c>
    </row>
    <row r="42" spans="1:16">
      <c r="A42" t="s">
        <v>48</v>
      </c>
      <c r="B42">
        <v>1</v>
      </c>
      <c r="C42">
        <v>0</v>
      </c>
      <c r="D42">
        <v>1</v>
      </c>
      <c r="E42">
        <v>1</v>
      </c>
      <c r="F42">
        <v>2</v>
      </c>
      <c r="H42">
        <f t="shared" si="0"/>
        <v>0.46410000000000001</v>
      </c>
      <c r="I42">
        <f t="shared" si="1"/>
        <v>0</v>
      </c>
      <c r="J42">
        <f t="shared" si="2"/>
        <v>8.8800000000000004E-2</v>
      </c>
      <c r="K42">
        <f t="shared" si="3"/>
        <v>4.36E-2</v>
      </c>
      <c r="L42">
        <f t="shared" si="4"/>
        <v>0.40339999999999998</v>
      </c>
      <c r="N42" t="str">
        <f t="shared" si="7"/>
        <v>acoustic-bird-detection</v>
      </c>
      <c r="O42">
        <f t="shared" si="5"/>
        <v>0.46410000000000001</v>
      </c>
      <c r="P42">
        <f t="shared" si="6"/>
        <v>0.53580000000000005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6705-673F-41BC-8F42-2321DF3CB39B}">
  <dimension ref="A1:K43"/>
  <sheetViews>
    <sheetView topLeftCell="A17" workbookViewId="0">
      <selection activeCell="E7" sqref="E7"/>
    </sheetView>
  </sheetViews>
  <sheetFormatPr defaultRowHeight="15"/>
  <cols>
    <col min="1" max="1" width="36.5703125" bestFit="1" customWidth="1"/>
    <col min="5" max="5" width="36.5703125" bestFit="1" customWidth="1"/>
    <col min="6" max="6" width="10.42578125" bestFit="1" customWidth="1"/>
    <col min="7" max="7" width="11.28515625" bestFit="1" customWidth="1"/>
    <col min="8" max="8" width="15.85546875" bestFit="1" customWidth="1"/>
    <col min="9" max="9" width="13.7109375" bestFit="1" customWidth="1"/>
    <col min="10" max="10" width="25.5703125" bestFit="1" customWidth="1"/>
    <col min="11" max="11" width="10.42578125" bestFit="1" customWidth="1"/>
  </cols>
  <sheetData>
    <row r="1" spans="1:11">
      <c r="A1" t="s">
        <v>0</v>
      </c>
      <c r="B1" t="s">
        <v>6</v>
      </c>
      <c r="C1" t="s">
        <v>7</v>
      </c>
    </row>
    <row r="2" spans="1:11">
      <c r="A2" t="s">
        <v>8</v>
      </c>
      <c r="B2">
        <v>0.46410000000000001</v>
      </c>
      <c r="C2">
        <v>0.73749999999999993</v>
      </c>
      <c r="E2" t="s">
        <v>0</v>
      </c>
      <c r="F2" t="s">
        <v>1</v>
      </c>
      <c r="G2" t="s">
        <v>2</v>
      </c>
      <c r="H2" t="s">
        <v>3</v>
      </c>
      <c r="I2" t="s">
        <v>4</v>
      </c>
      <c r="J2" t="s">
        <v>49</v>
      </c>
      <c r="K2" t="s">
        <v>50</v>
      </c>
    </row>
    <row r="3" spans="1:11">
      <c r="A3" t="s">
        <v>9</v>
      </c>
      <c r="B3">
        <v>0</v>
      </c>
      <c r="C3">
        <v>0.46650000000000003</v>
      </c>
      <c r="E3" t="s">
        <v>9</v>
      </c>
      <c r="F3">
        <v>0</v>
      </c>
      <c r="G3">
        <v>0</v>
      </c>
      <c r="H3">
        <v>0.17760000000000001</v>
      </c>
      <c r="I3">
        <v>8.72E-2</v>
      </c>
      <c r="J3">
        <v>0.20169999999999999</v>
      </c>
      <c r="K3">
        <f>SUM(F3:J3)</f>
        <v>0.46650000000000003</v>
      </c>
    </row>
    <row r="4" spans="1:11">
      <c r="A4" t="s">
        <v>10</v>
      </c>
      <c r="B4">
        <v>0.46410000000000001</v>
      </c>
      <c r="C4">
        <v>0.66819999999999991</v>
      </c>
      <c r="E4" t="s">
        <v>12</v>
      </c>
      <c r="F4">
        <v>0</v>
      </c>
      <c r="G4">
        <v>0</v>
      </c>
      <c r="H4">
        <v>0.17760000000000001</v>
      </c>
      <c r="I4">
        <v>8.72E-2</v>
      </c>
      <c r="J4">
        <v>0.20169999999999999</v>
      </c>
      <c r="K4">
        <f>SUM(F4:J4)</f>
        <v>0.46650000000000003</v>
      </c>
    </row>
    <row r="5" spans="1:11">
      <c r="A5" t="s">
        <v>11</v>
      </c>
      <c r="B5">
        <v>0.46410000000000001</v>
      </c>
      <c r="C5">
        <v>0.66819999999999991</v>
      </c>
      <c r="E5" t="s">
        <v>42</v>
      </c>
      <c r="F5">
        <v>0</v>
      </c>
      <c r="G5">
        <v>0</v>
      </c>
      <c r="H5">
        <v>0.17760000000000001</v>
      </c>
      <c r="I5">
        <v>8.72E-2</v>
      </c>
      <c r="J5">
        <v>0.20169999999999999</v>
      </c>
      <c r="K5">
        <f>SUM(F5:J5)</f>
        <v>0.46650000000000003</v>
      </c>
    </row>
    <row r="6" spans="1:11">
      <c r="A6" t="s">
        <v>12</v>
      </c>
      <c r="B6">
        <v>0</v>
      </c>
      <c r="C6">
        <v>0.46650000000000003</v>
      </c>
      <c r="E6" t="s">
        <v>34</v>
      </c>
      <c r="F6">
        <v>0</v>
      </c>
      <c r="G6">
        <v>0</v>
      </c>
      <c r="H6">
        <v>8.8800000000000004E-2</v>
      </c>
      <c r="I6">
        <v>0</v>
      </c>
      <c r="J6">
        <v>0.40339999999999998</v>
      </c>
      <c r="K6">
        <f>SUM(F6:J6)</f>
        <v>0.49219999999999997</v>
      </c>
    </row>
    <row r="7" spans="1:11">
      <c r="A7" t="s">
        <v>13</v>
      </c>
      <c r="B7">
        <v>0.46410000000000001</v>
      </c>
      <c r="C7">
        <v>0.66819999999999991</v>
      </c>
      <c r="E7" t="s">
        <v>37</v>
      </c>
      <c r="F7">
        <v>0</v>
      </c>
      <c r="G7">
        <v>0</v>
      </c>
      <c r="H7">
        <v>8.8800000000000004E-2</v>
      </c>
      <c r="I7">
        <v>0</v>
      </c>
      <c r="J7">
        <v>0.40339999999999998</v>
      </c>
      <c r="K7">
        <f>SUM(F7:J7)</f>
        <v>0.49219999999999997</v>
      </c>
    </row>
    <row r="8" spans="1:11">
      <c r="A8" t="s">
        <v>14</v>
      </c>
      <c r="B8">
        <v>0.46410000000000001</v>
      </c>
      <c r="C8">
        <v>0.66819999999999991</v>
      </c>
      <c r="E8" t="s">
        <v>22</v>
      </c>
      <c r="F8">
        <v>0</v>
      </c>
      <c r="G8">
        <v>0</v>
      </c>
      <c r="H8">
        <v>8.8800000000000004E-2</v>
      </c>
      <c r="I8">
        <v>4.36E-2</v>
      </c>
      <c r="J8">
        <v>0.40339999999999998</v>
      </c>
      <c r="K8">
        <f>SUM(F8:J8)</f>
        <v>0.53580000000000005</v>
      </c>
    </row>
    <row r="9" spans="1:11" ht="30.75">
      <c r="A9" s="1" t="s">
        <v>15</v>
      </c>
      <c r="B9">
        <v>0.46410000000000001</v>
      </c>
      <c r="C9">
        <v>0.26480000000000004</v>
      </c>
      <c r="E9" t="s">
        <v>43</v>
      </c>
      <c r="F9">
        <v>0</v>
      </c>
      <c r="G9">
        <v>0</v>
      </c>
      <c r="H9">
        <v>0.17760000000000001</v>
      </c>
      <c r="I9">
        <v>0</v>
      </c>
      <c r="J9">
        <v>0.40339999999999998</v>
      </c>
      <c r="K9">
        <f>SUM(F9:J9)</f>
        <v>0.58099999999999996</v>
      </c>
    </row>
    <row r="10" spans="1:11">
      <c r="A10" t="s">
        <v>16</v>
      </c>
      <c r="B10">
        <v>0</v>
      </c>
      <c r="C10">
        <v>0.62460000000000004</v>
      </c>
      <c r="E10" t="s">
        <v>31</v>
      </c>
      <c r="F10">
        <v>0.46410000000000001</v>
      </c>
      <c r="G10">
        <v>0</v>
      </c>
      <c r="H10">
        <v>8.8800000000000004E-2</v>
      </c>
      <c r="I10">
        <v>4.36E-2</v>
      </c>
      <c r="J10">
        <v>0</v>
      </c>
      <c r="K10">
        <f>SUM(F10:J10)</f>
        <v>0.59650000000000003</v>
      </c>
    </row>
    <row r="11" spans="1:11">
      <c r="A11" t="s">
        <v>17</v>
      </c>
      <c r="B11">
        <v>0</v>
      </c>
      <c r="C11">
        <v>0.73749999999999993</v>
      </c>
      <c r="E11" t="s">
        <v>16</v>
      </c>
      <c r="F11">
        <v>0</v>
      </c>
      <c r="G11">
        <v>0</v>
      </c>
      <c r="H11">
        <v>0.17760000000000001</v>
      </c>
      <c r="I11">
        <v>4.36E-2</v>
      </c>
      <c r="J11">
        <v>0.40339999999999998</v>
      </c>
      <c r="K11">
        <f>SUM(F11:J11)</f>
        <v>0.62460000000000004</v>
      </c>
    </row>
    <row r="12" spans="1:11">
      <c r="A12" t="s">
        <v>18</v>
      </c>
      <c r="B12">
        <v>0</v>
      </c>
      <c r="C12">
        <v>0.8698999999999999</v>
      </c>
      <c r="E12" t="s">
        <v>38</v>
      </c>
      <c r="F12">
        <v>0</v>
      </c>
      <c r="G12">
        <v>0</v>
      </c>
      <c r="H12">
        <v>0.17760000000000001</v>
      </c>
      <c r="I12">
        <v>4.36E-2</v>
      </c>
      <c r="J12">
        <v>0.40339999999999998</v>
      </c>
      <c r="K12">
        <f>SUM(F12:J12)</f>
        <v>0.62460000000000004</v>
      </c>
    </row>
    <row r="13" spans="1:11">
      <c r="A13" t="s">
        <v>19</v>
      </c>
      <c r="B13">
        <v>0.46410000000000001</v>
      </c>
      <c r="C13">
        <v>0.8698999999999999</v>
      </c>
      <c r="E13" t="s">
        <v>23</v>
      </c>
      <c r="F13">
        <v>0.46410000000000001</v>
      </c>
      <c r="G13">
        <v>0</v>
      </c>
      <c r="H13">
        <v>0</v>
      </c>
      <c r="I13">
        <v>0</v>
      </c>
      <c r="J13">
        <v>0.20169999999999999</v>
      </c>
      <c r="K13">
        <f>SUM(F13:J13)</f>
        <v>0.66579999999999995</v>
      </c>
    </row>
    <row r="14" spans="1:11">
      <c r="A14" t="s">
        <v>20</v>
      </c>
      <c r="B14">
        <v>0</v>
      </c>
      <c r="C14">
        <v>0.8698999999999999</v>
      </c>
      <c r="E14" t="s">
        <v>39</v>
      </c>
      <c r="F14">
        <v>0</v>
      </c>
      <c r="G14">
        <v>0.20169999999999999</v>
      </c>
      <c r="H14">
        <v>0.17760000000000001</v>
      </c>
      <c r="I14">
        <v>8.72E-2</v>
      </c>
      <c r="J14">
        <v>0.20169999999999999</v>
      </c>
      <c r="K14">
        <f>SUM(F14:J14)</f>
        <v>0.66819999999999991</v>
      </c>
    </row>
    <row r="15" spans="1:11" ht="30.75">
      <c r="A15" t="s">
        <v>21</v>
      </c>
      <c r="B15">
        <v>0</v>
      </c>
      <c r="C15">
        <v>0.73749999999999993</v>
      </c>
      <c r="E15" s="1" t="s">
        <v>15</v>
      </c>
      <c r="F15">
        <v>0.46410000000000001</v>
      </c>
      <c r="G15">
        <v>0</v>
      </c>
      <c r="H15">
        <v>0.17760000000000001</v>
      </c>
      <c r="I15">
        <v>8.72E-2</v>
      </c>
      <c r="J15">
        <v>0</v>
      </c>
      <c r="K15">
        <f>SUM(F15:J15)</f>
        <v>0.7289000000000001</v>
      </c>
    </row>
    <row r="16" spans="1:11">
      <c r="A16" t="s">
        <v>22</v>
      </c>
      <c r="B16">
        <v>0</v>
      </c>
      <c r="C16">
        <v>0.53580000000000005</v>
      </c>
      <c r="E16" t="s">
        <v>17</v>
      </c>
      <c r="F16">
        <v>0</v>
      </c>
      <c r="G16">
        <v>0.20169999999999999</v>
      </c>
      <c r="H16">
        <v>8.8800000000000004E-2</v>
      </c>
      <c r="I16">
        <v>4.36E-2</v>
      </c>
      <c r="J16">
        <v>0.40339999999999998</v>
      </c>
      <c r="K16">
        <f>SUM(F16:J16)</f>
        <v>0.73749999999999993</v>
      </c>
    </row>
    <row r="17" spans="1:11">
      <c r="A17" t="s">
        <v>23</v>
      </c>
      <c r="B17">
        <v>0.46410000000000001</v>
      </c>
      <c r="C17">
        <v>0.20169999999999999</v>
      </c>
      <c r="E17" t="s">
        <v>21</v>
      </c>
      <c r="F17">
        <v>0</v>
      </c>
      <c r="G17">
        <v>0.20169999999999999</v>
      </c>
      <c r="H17">
        <v>8.8800000000000004E-2</v>
      </c>
      <c r="I17">
        <v>4.36E-2</v>
      </c>
      <c r="J17">
        <v>0.40339999999999998</v>
      </c>
      <c r="K17">
        <f>SUM(F17:J17)</f>
        <v>0.73749999999999993</v>
      </c>
    </row>
    <row r="18" spans="1:11">
      <c r="A18" t="s">
        <v>24</v>
      </c>
      <c r="B18">
        <v>0</v>
      </c>
      <c r="C18">
        <v>0.8698999999999999</v>
      </c>
      <c r="E18" t="s">
        <v>45</v>
      </c>
      <c r="F18">
        <v>0.46410000000000001</v>
      </c>
      <c r="G18">
        <v>0.20169999999999999</v>
      </c>
      <c r="H18">
        <v>0</v>
      </c>
      <c r="I18">
        <v>8.72E-2</v>
      </c>
      <c r="J18">
        <v>0</v>
      </c>
      <c r="K18">
        <f>SUM(F18:J18)</f>
        <v>0.75299999999999989</v>
      </c>
    </row>
    <row r="19" spans="1:11">
      <c r="A19" t="s">
        <v>25</v>
      </c>
      <c r="B19">
        <v>0</v>
      </c>
      <c r="C19">
        <v>0.8698999999999999</v>
      </c>
      <c r="E19" t="s">
        <v>40</v>
      </c>
      <c r="F19">
        <v>0.46410000000000001</v>
      </c>
      <c r="G19">
        <v>0</v>
      </c>
      <c r="H19">
        <v>8.8800000000000004E-2</v>
      </c>
      <c r="I19">
        <v>0</v>
      </c>
      <c r="J19">
        <v>0.20169999999999999</v>
      </c>
      <c r="K19">
        <f>SUM(F19:J19)</f>
        <v>0.75460000000000005</v>
      </c>
    </row>
    <row r="20" spans="1:11">
      <c r="A20" t="s">
        <v>26</v>
      </c>
      <c r="B20">
        <v>0</v>
      </c>
      <c r="C20">
        <v>1.0715999999999999</v>
      </c>
      <c r="E20" t="s">
        <v>41</v>
      </c>
      <c r="F20">
        <v>0.46410000000000001</v>
      </c>
      <c r="G20">
        <v>0</v>
      </c>
      <c r="H20">
        <v>8.8800000000000004E-2</v>
      </c>
      <c r="I20">
        <v>0</v>
      </c>
      <c r="J20">
        <v>0.20169999999999999</v>
      </c>
      <c r="K20">
        <f>SUM(F20:J20)</f>
        <v>0.75460000000000005</v>
      </c>
    </row>
    <row r="21" spans="1:11">
      <c r="A21" t="s">
        <v>27</v>
      </c>
      <c r="B21">
        <v>0.92820000000000003</v>
      </c>
      <c r="C21">
        <v>0.33409999999999995</v>
      </c>
      <c r="E21" t="s">
        <v>35</v>
      </c>
      <c r="F21">
        <v>0</v>
      </c>
      <c r="G21">
        <v>0.20169999999999999</v>
      </c>
      <c r="H21">
        <v>0.17760000000000001</v>
      </c>
      <c r="I21">
        <v>0</v>
      </c>
      <c r="J21">
        <v>0.40339999999999998</v>
      </c>
      <c r="K21">
        <f>SUM(F21:J21)</f>
        <v>0.78269999999999995</v>
      </c>
    </row>
    <row r="22" spans="1:11">
      <c r="A22" t="s">
        <v>28</v>
      </c>
      <c r="B22">
        <v>0.46410000000000001</v>
      </c>
      <c r="C22">
        <v>0.42289999999999994</v>
      </c>
      <c r="E22" t="s">
        <v>46</v>
      </c>
      <c r="F22">
        <v>0</v>
      </c>
      <c r="G22">
        <v>0.20169999999999999</v>
      </c>
      <c r="H22">
        <v>0.17760000000000001</v>
      </c>
      <c r="I22">
        <v>4.36E-2</v>
      </c>
      <c r="J22">
        <v>0.40339999999999998</v>
      </c>
      <c r="K22">
        <f>SUM(F22:J22)</f>
        <v>0.82629999999999992</v>
      </c>
    </row>
    <row r="23" spans="1:11">
      <c r="A23" t="s">
        <v>29</v>
      </c>
      <c r="B23">
        <v>0.46410000000000001</v>
      </c>
      <c r="C23">
        <v>0.57939999999999992</v>
      </c>
      <c r="E23" t="s">
        <v>47</v>
      </c>
      <c r="F23">
        <v>0</v>
      </c>
      <c r="G23">
        <v>0.20169999999999999</v>
      </c>
      <c r="H23">
        <v>0.17760000000000001</v>
      </c>
      <c r="I23">
        <v>4.36E-2</v>
      </c>
      <c r="J23">
        <v>0.40339999999999998</v>
      </c>
      <c r="K23">
        <f>SUM(F23:J23)</f>
        <v>0.82629999999999992</v>
      </c>
    </row>
    <row r="24" spans="1:11">
      <c r="A24" t="s">
        <v>30</v>
      </c>
      <c r="B24">
        <v>0.46410000000000001</v>
      </c>
      <c r="C24">
        <v>0.8698999999999999</v>
      </c>
      <c r="E24" t="s">
        <v>18</v>
      </c>
      <c r="F24">
        <v>0</v>
      </c>
      <c r="G24">
        <v>0.20169999999999999</v>
      </c>
      <c r="H24">
        <v>0.17760000000000001</v>
      </c>
      <c r="I24">
        <v>8.72E-2</v>
      </c>
      <c r="J24">
        <v>0.40339999999999998</v>
      </c>
      <c r="K24">
        <f>SUM(F24:J24)</f>
        <v>0.8698999999999999</v>
      </c>
    </row>
    <row r="25" spans="1:11">
      <c r="A25" t="s">
        <v>31</v>
      </c>
      <c r="B25">
        <v>0.46410000000000001</v>
      </c>
      <c r="C25">
        <v>0.13240000000000002</v>
      </c>
      <c r="E25" t="s">
        <v>20</v>
      </c>
      <c r="F25">
        <v>0</v>
      </c>
      <c r="G25">
        <v>0.20169999999999999</v>
      </c>
      <c r="H25">
        <v>0.17760000000000001</v>
      </c>
      <c r="I25">
        <v>8.72E-2</v>
      </c>
      <c r="J25">
        <v>0.40339999999999998</v>
      </c>
      <c r="K25">
        <f>SUM(F25:J25)</f>
        <v>0.8698999999999999</v>
      </c>
    </row>
    <row r="26" spans="1:11">
      <c r="A26" t="s">
        <v>32</v>
      </c>
      <c r="B26">
        <v>0.46410000000000001</v>
      </c>
      <c r="C26">
        <v>0.62459999999999993</v>
      </c>
      <c r="E26" t="s">
        <v>24</v>
      </c>
      <c r="F26">
        <v>0</v>
      </c>
      <c r="G26">
        <v>0.20169999999999999</v>
      </c>
      <c r="H26">
        <v>0.17760000000000001</v>
      </c>
      <c r="I26">
        <v>8.72E-2</v>
      </c>
      <c r="J26">
        <v>0.40339999999999998</v>
      </c>
      <c r="K26">
        <f>SUM(F26:J26)</f>
        <v>0.8698999999999999</v>
      </c>
    </row>
    <row r="27" spans="1:11">
      <c r="A27" t="s">
        <v>33</v>
      </c>
      <c r="B27">
        <v>0.46410000000000001</v>
      </c>
      <c r="C27">
        <v>0.78269999999999995</v>
      </c>
      <c r="E27" t="s">
        <v>25</v>
      </c>
      <c r="F27">
        <v>0</v>
      </c>
      <c r="G27">
        <v>0.20169999999999999</v>
      </c>
      <c r="H27">
        <v>0.17760000000000001</v>
      </c>
      <c r="I27">
        <v>8.72E-2</v>
      </c>
      <c r="J27">
        <v>0.40339999999999998</v>
      </c>
      <c r="K27">
        <f>SUM(F27:J27)</f>
        <v>0.8698999999999999</v>
      </c>
    </row>
    <row r="28" spans="1:11">
      <c r="A28" t="s">
        <v>34</v>
      </c>
      <c r="B28">
        <v>0</v>
      </c>
      <c r="C28">
        <v>0.49219999999999997</v>
      </c>
      <c r="E28" t="s">
        <v>28</v>
      </c>
      <c r="F28">
        <v>0.46410000000000001</v>
      </c>
      <c r="G28">
        <v>0.20169999999999999</v>
      </c>
      <c r="H28">
        <v>0.17760000000000001</v>
      </c>
      <c r="I28">
        <v>4.36E-2</v>
      </c>
      <c r="J28">
        <v>0</v>
      </c>
      <c r="K28">
        <f>SUM(F28:J28)</f>
        <v>0.8869999999999999</v>
      </c>
    </row>
    <row r="29" spans="1:11">
      <c r="A29" t="s">
        <v>35</v>
      </c>
      <c r="B29">
        <v>0</v>
      </c>
      <c r="C29">
        <v>0.78269999999999995</v>
      </c>
      <c r="E29" t="s">
        <v>48</v>
      </c>
      <c r="F29">
        <v>0.46410000000000001</v>
      </c>
      <c r="G29">
        <v>0</v>
      </c>
      <c r="H29">
        <v>8.8800000000000004E-2</v>
      </c>
      <c r="I29">
        <v>4.36E-2</v>
      </c>
      <c r="J29">
        <v>0.40339999999999998</v>
      </c>
      <c r="K29">
        <f>SUM(F29:J29)</f>
        <v>0.99990000000000001</v>
      </c>
    </row>
    <row r="30" spans="1:11">
      <c r="A30" t="s">
        <v>36</v>
      </c>
      <c r="B30">
        <v>0.46410000000000001</v>
      </c>
      <c r="C30">
        <v>1.0715999999999999</v>
      </c>
      <c r="E30" t="s">
        <v>29</v>
      </c>
      <c r="F30">
        <v>0.46410000000000001</v>
      </c>
      <c r="G30">
        <v>0.20169999999999999</v>
      </c>
      <c r="H30">
        <v>8.8800000000000004E-2</v>
      </c>
      <c r="I30">
        <v>8.72E-2</v>
      </c>
      <c r="J30">
        <v>0.20169999999999999</v>
      </c>
      <c r="K30">
        <f>SUM(F30:J30)</f>
        <v>1.0434999999999999</v>
      </c>
    </row>
    <row r="31" spans="1:11">
      <c r="A31" t="s">
        <v>37</v>
      </c>
      <c r="B31">
        <v>0</v>
      </c>
      <c r="C31">
        <v>0.49219999999999997</v>
      </c>
      <c r="E31" t="s">
        <v>44</v>
      </c>
      <c r="F31">
        <v>0.46410000000000001</v>
      </c>
      <c r="G31">
        <v>0.20169999999999999</v>
      </c>
      <c r="H31">
        <v>0.17760000000000001</v>
      </c>
      <c r="I31">
        <v>0</v>
      </c>
      <c r="J31">
        <v>0.20169999999999999</v>
      </c>
      <c r="K31">
        <f>SUM(F31:J31)</f>
        <v>1.0450999999999999</v>
      </c>
    </row>
    <row r="32" spans="1:11">
      <c r="A32" t="s">
        <v>38</v>
      </c>
      <c r="B32">
        <v>0</v>
      </c>
      <c r="C32">
        <v>0.62460000000000004</v>
      </c>
      <c r="E32" t="s">
        <v>26</v>
      </c>
      <c r="F32">
        <v>0</v>
      </c>
      <c r="G32">
        <v>0.40339999999999998</v>
      </c>
      <c r="H32">
        <v>0.17760000000000001</v>
      </c>
      <c r="I32">
        <v>8.72E-2</v>
      </c>
      <c r="J32">
        <v>0.40339999999999998</v>
      </c>
      <c r="K32">
        <f>SUM(F32:J32)</f>
        <v>1.0715999999999999</v>
      </c>
    </row>
    <row r="33" spans="1:11">
      <c r="A33" t="s">
        <v>39</v>
      </c>
      <c r="B33">
        <v>0</v>
      </c>
      <c r="C33">
        <v>0.66819999999999991</v>
      </c>
      <c r="E33" t="s">
        <v>32</v>
      </c>
      <c r="F33">
        <v>0.46410000000000001</v>
      </c>
      <c r="G33">
        <v>0.20169999999999999</v>
      </c>
      <c r="H33">
        <v>0.17760000000000001</v>
      </c>
      <c r="I33">
        <v>4.36E-2</v>
      </c>
      <c r="J33">
        <v>0.20169999999999999</v>
      </c>
      <c r="K33">
        <f>SUM(F33:J33)</f>
        <v>1.0886999999999998</v>
      </c>
    </row>
    <row r="34" spans="1:11">
      <c r="A34" t="s">
        <v>40</v>
      </c>
      <c r="B34">
        <v>0.46410000000000001</v>
      </c>
      <c r="C34">
        <v>0.29049999999999998</v>
      </c>
      <c r="E34" t="s">
        <v>10</v>
      </c>
      <c r="F34">
        <v>0.46410000000000001</v>
      </c>
      <c r="G34">
        <v>0.20169999999999999</v>
      </c>
      <c r="H34">
        <v>0.17760000000000001</v>
      </c>
      <c r="I34">
        <v>8.72E-2</v>
      </c>
      <c r="J34">
        <v>0.20169999999999999</v>
      </c>
      <c r="K34">
        <f>SUM(F34:J34)</f>
        <v>1.1322999999999999</v>
      </c>
    </row>
    <row r="35" spans="1:11">
      <c r="A35" t="s">
        <v>41</v>
      </c>
      <c r="B35">
        <v>0.46410000000000001</v>
      </c>
      <c r="C35">
        <v>0.29049999999999998</v>
      </c>
      <c r="E35" t="s">
        <v>11</v>
      </c>
      <c r="F35">
        <v>0.46410000000000001</v>
      </c>
      <c r="G35">
        <v>0.20169999999999999</v>
      </c>
      <c r="H35">
        <v>0.17760000000000001</v>
      </c>
      <c r="I35">
        <v>8.72E-2</v>
      </c>
      <c r="J35">
        <v>0.20169999999999999</v>
      </c>
      <c r="K35">
        <f>SUM(F35:J35)</f>
        <v>1.1322999999999999</v>
      </c>
    </row>
    <row r="36" spans="1:11">
      <c r="A36" t="s">
        <v>42</v>
      </c>
      <c r="B36">
        <v>0</v>
      </c>
      <c r="C36">
        <v>0.46650000000000003</v>
      </c>
      <c r="E36" t="s">
        <v>13</v>
      </c>
      <c r="F36">
        <v>0.46410000000000001</v>
      </c>
      <c r="G36">
        <v>0.20169999999999999</v>
      </c>
      <c r="H36">
        <v>0.17760000000000001</v>
      </c>
      <c r="I36">
        <v>8.72E-2</v>
      </c>
      <c r="J36">
        <v>0.20169999999999999</v>
      </c>
      <c r="K36">
        <f>SUM(F36:J36)</f>
        <v>1.1322999999999999</v>
      </c>
    </row>
    <row r="37" spans="1:11">
      <c r="A37" t="s">
        <v>43</v>
      </c>
      <c r="B37">
        <v>0</v>
      </c>
      <c r="C37">
        <v>0.58099999999999996</v>
      </c>
      <c r="E37" t="s">
        <v>14</v>
      </c>
      <c r="F37">
        <v>0.46410000000000001</v>
      </c>
      <c r="G37">
        <v>0.20169999999999999</v>
      </c>
      <c r="H37">
        <v>0.17760000000000001</v>
      </c>
      <c r="I37">
        <v>8.72E-2</v>
      </c>
      <c r="J37">
        <v>0.20169999999999999</v>
      </c>
      <c r="K37">
        <f>SUM(F37:J37)</f>
        <v>1.1322999999999999</v>
      </c>
    </row>
    <row r="38" spans="1:11">
      <c r="A38" t="s">
        <v>44</v>
      </c>
      <c r="B38">
        <v>0.46410000000000001</v>
      </c>
      <c r="C38">
        <v>0.58099999999999996</v>
      </c>
      <c r="E38" t="s">
        <v>8</v>
      </c>
      <c r="F38">
        <v>0.46410000000000001</v>
      </c>
      <c r="G38">
        <v>0.20169999999999999</v>
      </c>
      <c r="H38">
        <v>8.8800000000000004E-2</v>
      </c>
      <c r="I38">
        <v>4.36E-2</v>
      </c>
      <c r="J38">
        <v>0.40339999999999998</v>
      </c>
      <c r="K38">
        <f>SUM(F38:J38)</f>
        <v>1.2016</v>
      </c>
    </row>
    <row r="39" spans="1:11">
      <c r="A39" t="s">
        <v>45</v>
      </c>
      <c r="B39">
        <v>0.46410000000000001</v>
      </c>
      <c r="C39">
        <v>0.28889999999999999</v>
      </c>
      <c r="E39" t="s">
        <v>33</v>
      </c>
      <c r="F39">
        <v>0.46410000000000001</v>
      </c>
      <c r="G39">
        <v>0.20169999999999999</v>
      </c>
      <c r="H39">
        <v>0.17760000000000001</v>
      </c>
      <c r="I39">
        <v>0</v>
      </c>
      <c r="J39">
        <v>0.40339999999999998</v>
      </c>
      <c r="K39">
        <f>SUM(F39:J39)</f>
        <v>1.2467999999999999</v>
      </c>
    </row>
    <row r="40" spans="1:11">
      <c r="A40" t="s">
        <v>46</v>
      </c>
      <c r="B40">
        <v>0</v>
      </c>
      <c r="C40">
        <v>0.82629999999999992</v>
      </c>
      <c r="E40" t="s">
        <v>27</v>
      </c>
      <c r="F40">
        <v>0.92820000000000003</v>
      </c>
      <c r="G40">
        <v>0.20169999999999999</v>
      </c>
      <c r="H40">
        <v>8.8800000000000004E-2</v>
      </c>
      <c r="I40">
        <v>4.36E-2</v>
      </c>
      <c r="J40">
        <v>0</v>
      </c>
      <c r="K40">
        <f>SUM(F40:J40)</f>
        <v>1.2623000000000002</v>
      </c>
    </row>
    <row r="41" spans="1:11">
      <c r="A41" t="s">
        <v>47</v>
      </c>
      <c r="B41">
        <v>0</v>
      </c>
      <c r="C41">
        <v>0.82629999999999992</v>
      </c>
      <c r="E41" t="s">
        <v>19</v>
      </c>
      <c r="F41">
        <v>0.46410000000000001</v>
      </c>
      <c r="G41">
        <v>0.20169999999999999</v>
      </c>
      <c r="H41">
        <v>0.17760000000000001</v>
      </c>
      <c r="I41">
        <v>8.72E-2</v>
      </c>
      <c r="J41">
        <v>0.40339999999999998</v>
      </c>
      <c r="K41">
        <f>SUM(F41:J41)</f>
        <v>1.3339999999999999</v>
      </c>
    </row>
    <row r="42" spans="1:11">
      <c r="A42" t="s">
        <v>48</v>
      </c>
      <c r="B42">
        <v>0.46410000000000001</v>
      </c>
      <c r="C42">
        <v>0.53580000000000005</v>
      </c>
      <c r="E42" t="s">
        <v>30</v>
      </c>
      <c r="F42">
        <v>0.46410000000000001</v>
      </c>
      <c r="G42">
        <v>0.20169999999999999</v>
      </c>
      <c r="H42">
        <v>0.17760000000000001</v>
      </c>
      <c r="I42">
        <v>8.72E-2</v>
      </c>
      <c r="J42">
        <v>0.40339999999999998</v>
      </c>
      <c r="K42">
        <f>SUM(F42:J42)</f>
        <v>1.3339999999999999</v>
      </c>
    </row>
    <row r="43" spans="1:11">
      <c r="E43" t="s">
        <v>36</v>
      </c>
      <c r="F43">
        <v>0.46410000000000001</v>
      </c>
      <c r="G43">
        <v>0.40339999999999998</v>
      </c>
      <c r="H43">
        <v>0.17760000000000001</v>
      </c>
      <c r="I43">
        <v>8.72E-2</v>
      </c>
      <c r="J43">
        <v>0.40339999999999998</v>
      </c>
      <c r="K43">
        <f>SUM(F43:J43)</f>
        <v>1.5356999999999998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2026-04-25T17:24:53Z</dcterms:created>
  <dcterms:modified xsi:type="dcterms:W3CDTF">2026-05-21T21:33:44Z</dcterms:modified>
  <cp:category/>
  <cp:contentStatus/>
</cp:coreProperties>
</file>